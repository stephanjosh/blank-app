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eva\mathari(MTNRH)\"/>
    </mc:Choice>
  </mc:AlternateContent>
  <bookViews>
    <workbookView xWindow="-120" yWindow="-120" windowWidth="29040" windowHeight="15720"/>
  </bookViews>
  <sheets>
    <sheet name="ANNUAL PSYCH OPD MORBIDITY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5" i="1" l="1"/>
  <c r="X84" i="1"/>
  <c r="W84" i="1"/>
  <c r="W85" i="1" s="1"/>
  <c r="V84" i="1"/>
  <c r="U84" i="1"/>
  <c r="U85" i="1" s="1"/>
  <c r="T84" i="1"/>
  <c r="S84" i="1"/>
  <c r="S85" i="1" s="1"/>
  <c r="R84" i="1"/>
  <c r="Q84" i="1"/>
  <c r="Q85" i="1" s="1"/>
  <c r="P84" i="1"/>
  <c r="O84" i="1"/>
  <c r="O85" i="1" s="1"/>
  <c r="N84" i="1"/>
  <c r="M84" i="1"/>
  <c r="M85" i="1" s="1"/>
  <c r="L84" i="1"/>
  <c r="K84" i="1"/>
  <c r="K85" i="1" s="1"/>
  <c r="J84" i="1"/>
  <c r="I84" i="1"/>
  <c r="I85" i="1" s="1"/>
  <c r="H84" i="1"/>
  <c r="G84" i="1"/>
  <c r="F84" i="1"/>
  <c r="E84" i="1"/>
  <c r="E85" i="1" s="1"/>
  <c r="D84" i="1"/>
  <c r="Z84" i="1" s="1"/>
  <c r="C84" i="1"/>
  <c r="Y84" i="1" s="1"/>
  <c r="Z83" i="1"/>
  <c r="Y83" i="1"/>
  <c r="AA83" i="1" s="1"/>
  <c r="Z82" i="1"/>
  <c r="Y82" i="1"/>
  <c r="AA82" i="1" s="1"/>
  <c r="Z81" i="1"/>
  <c r="Y81" i="1"/>
  <c r="AA81" i="1" s="1"/>
  <c r="Z80" i="1"/>
  <c r="Y80" i="1"/>
  <c r="AA80" i="1" s="1"/>
  <c r="Z79" i="1"/>
  <c r="Y79" i="1"/>
  <c r="AA79" i="1" s="1"/>
  <c r="Z78" i="1"/>
  <c r="Y78" i="1"/>
  <c r="AA78" i="1" s="1"/>
  <c r="Z77" i="1"/>
  <c r="Y77" i="1"/>
  <c r="AA77" i="1" s="1"/>
  <c r="Z76" i="1"/>
  <c r="Y76" i="1"/>
  <c r="AA76" i="1" s="1"/>
  <c r="Z75" i="1"/>
  <c r="Y75" i="1"/>
  <c r="AA75" i="1" s="1"/>
  <c r="Z74" i="1"/>
  <c r="Y74" i="1"/>
  <c r="AA74" i="1" s="1"/>
  <c r="Z73" i="1"/>
  <c r="Y73" i="1"/>
  <c r="AA73" i="1" s="1"/>
  <c r="Z72" i="1"/>
  <c r="Y72" i="1"/>
  <c r="AA72" i="1" s="1"/>
  <c r="Z71" i="1"/>
  <c r="Y71" i="1"/>
  <c r="AA71" i="1" s="1"/>
  <c r="Z70" i="1"/>
  <c r="Y70" i="1"/>
  <c r="AA70" i="1" s="1"/>
  <c r="Z69" i="1"/>
  <c r="Y69" i="1"/>
  <c r="AA69" i="1" s="1"/>
  <c r="Z68" i="1"/>
  <c r="Y68" i="1"/>
  <c r="AA68" i="1" s="1"/>
  <c r="Z67" i="1"/>
  <c r="Y67" i="1"/>
  <c r="AA67" i="1" s="1"/>
  <c r="Z66" i="1"/>
  <c r="Y66" i="1"/>
  <c r="AA66" i="1" s="1"/>
  <c r="Z65" i="1"/>
  <c r="Y65" i="1"/>
  <c r="AA65" i="1" s="1"/>
  <c r="AA64" i="1"/>
  <c r="Z64" i="1"/>
  <c r="Y64" i="1"/>
  <c r="L55" i="1"/>
  <c r="K55" i="1"/>
  <c r="J55" i="1"/>
  <c r="I55" i="1"/>
  <c r="H55" i="1"/>
  <c r="G55" i="1"/>
  <c r="F55" i="1"/>
  <c r="E55" i="1"/>
  <c r="D55" i="1"/>
  <c r="C55" i="1"/>
  <c r="N54" i="1"/>
  <c r="O54" i="1" s="1"/>
  <c r="M54" i="1"/>
  <c r="O53" i="1"/>
  <c r="N53" i="1"/>
  <c r="M53" i="1"/>
  <c r="N52" i="1"/>
  <c r="M52" i="1"/>
  <c r="O52" i="1" s="1"/>
  <c r="O51" i="1"/>
  <c r="N51" i="1"/>
  <c r="M51" i="1"/>
  <c r="N50" i="1"/>
  <c r="O50" i="1" s="1"/>
  <c r="M50" i="1"/>
  <c r="O49" i="1"/>
  <c r="N49" i="1"/>
  <c r="M49" i="1"/>
  <c r="N48" i="1"/>
  <c r="M48" i="1"/>
  <c r="O48" i="1" s="1"/>
  <c r="O47" i="1"/>
  <c r="N47" i="1"/>
  <c r="M47" i="1"/>
  <c r="N46" i="1"/>
  <c r="O46" i="1" s="1"/>
  <c r="M46" i="1"/>
  <c r="O45" i="1"/>
  <c r="N45" i="1"/>
  <c r="M45" i="1"/>
  <c r="N44" i="1"/>
  <c r="M44" i="1"/>
  <c r="O44" i="1" s="1"/>
  <c r="O43" i="1"/>
  <c r="N43" i="1"/>
  <c r="M43" i="1"/>
  <c r="N42" i="1"/>
  <c r="O42" i="1" s="1"/>
  <c r="M42" i="1"/>
  <c r="O41" i="1"/>
  <c r="N41" i="1"/>
  <c r="M41" i="1"/>
  <c r="N40" i="1"/>
  <c r="M40" i="1"/>
  <c r="O40" i="1" s="1"/>
  <c r="O39" i="1"/>
  <c r="N39" i="1"/>
  <c r="M39" i="1"/>
  <c r="N38" i="1"/>
  <c r="N55" i="1" s="1"/>
  <c r="M38" i="1"/>
  <c r="O37" i="1"/>
  <c r="N37" i="1"/>
  <c r="M37" i="1"/>
  <c r="N36" i="1"/>
  <c r="M36" i="1"/>
  <c r="M55" i="1" s="1"/>
  <c r="O55" i="1" s="1"/>
  <c r="O35" i="1"/>
  <c r="N35" i="1"/>
  <c r="M35" i="1"/>
  <c r="N27" i="1"/>
  <c r="M27" i="1"/>
  <c r="L27" i="1"/>
  <c r="K27" i="1"/>
  <c r="J27" i="1"/>
  <c r="I27" i="1"/>
  <c r="H27" i="1"/>
  <c r="G27" i="1"/>
  <c r="F27" i="1"/>
  <c r="E27" i="1"/>
  <c r="D27" i="1"/>
  <c r="P27" i="1" s="1"/>
  <c r="C27" i="1"/>
  <c r="O27" i="1" s="1"/>
  <c r="Q27" i="1" s="1"/>
  <c r="P26" i="1"/>
  <c r="O26" i="1"/>
  <c r="Q26" i="1" s="1"/>
  <c r="P25" i="1"/>
  <c r="Q25" i="1" s="1"/>
  <c r="O25" i="1"/>
  <c r="P24" i="1"/>
  <c r="O24" i="1"/>
  <c r="Q24" i="1" s="1"/>
  <c r="P23" i="1"/>
  <c r="O23" i="1"/>
  <c r="Q23" i="1" s="1"/>
  <c r="P22" i="1"/>
  <c r="O22" i="1"/>
  <c r="Q22" i="1" s="1"/>
  <c r="P21" i="1"/>
  <c r="Q21" i="1" s="1"/>
  <c r="O21" i="1"/>
  <c r="P20" i="1"/>
  <c r="O20" i="1"/>
  <c r="Q20" i="1" s="1"/>
  <c r="P19" i="1"/>
  <c r="O19" i="1"/>
  <c r="Q19" i="1" s="1"/>
  <c r="P18" i="1"/>
  <c r="O18" i="1"/>
  <c r="Q18" i="1" s="1"/>
  <c r="P17" i="1"/>
  <c r="Q17" i="1" s="1"/>
  <c r="O17" i="1"/>
  <c r="P16" i="1"/>
  <c r="O16" i="1"/>
  <c r="Q16" i="1" s="1"/>
  <c r="P15" i="1"/>
  <c r="O15" i="1"/>
  <c r="Q15" i="1" s="1"/>
  <c r="P14" i="1"/>
  <c r="O14" i="1"/>
  <c r="Q14" i="1" s="1"/>
  <c r="P13" i="1"/>
  <c r="Q13" i="1" s="1"/>
  <c r="O13" i="1"/>
  <c r="P12" i="1"/>
  <c r="O12" i="1"/>
  <c r="Q12" i="1" s="1"/>
  <c r="P11" i="1"/>
  <c r="O11" i="1"/>
  <c r="Q11" i="1" s="1"/>
  <c r="P10" i="1"/>
  <c r="O10" i="1"/>
  <c r="Q10" i="1" s="1"/>
  <c r="Y85" i="1" l="1"/>
  <c r="AA84" i="1"/>
  <c r="C85" i="1"/>
  <c r="O36" i="1"/>
  <c r="O38" i="1"/>
</calcChain>
</file>

<file path=xl/sharedStrings.xml><?xml version="1.0" encoding="utf-8"?>
<sst xmlns="http://schemas.openxmlformats.org/spreadsheetml/2006/main" count="149" uniqueCount="64">
  <si>
    <t>MATHARI NATIONAL TEACHING AND REFERRAL HOSPITAL</t>
  </si>
  <si>
    <t>DATA ON OUTPATIENT MORBIDITY FOR THE PERIOD 2022/23 TO 2024/25</t>
  </si>
  <si>
    <t>2022/23 ANNUAL OPD PSYCHIATRIC MORBIDITY SUMMARY</t>
  </si>
  <si>
    <t>OPD PSYCH</t>
  </si>
  <si>
    <t>PAEDIATRICS &gt; 5YRS</t>
  </si>
  <si>
    <t>FORENSIC</t>
  </si>
  <si>
    <t>MAT</t>
  </si>
  <si>
    <t>GOPC</t>
  </si>
  <si>
    <t>PAEDIATRICS &lt; 5YRS</t>
  </si>
  <si>
    <t>TOTAL</t>
  </si>
  <si>
    <t>GRAND TOTAL</t>
  </si>
  <si>
    <t>S/NO</t>
  </si>
  <si>
    <t>MENTAL DISORDERS</t>
  </si>
  <si>
    <t>NEW</t>
  </si>
  <si>
    <t>REATT</t>
  </si>
  <si>
    <t>SCHIZOPHRENIA SPECTRUM DISORDER</t>
  </si>
  <si>
    <t>OTHER DISORDERS DUE TO SUBSTANCE USE</t>
  </si>
  <si>
    <t>BIPOLAR DISORDERS</t>
  </si>
  <si>
    <t>OTHER PSYCHOTIC DISORDER</t>
  </si>
  <si>
    <t>DEPRESSIVE DISORDERS</t>
  </si>
  <si>
    <t>ALCOHOL USE DISORDERS</t>
  </si>
  <si>
    <t>NEUROCOGNITIVE DISORDERS</t>
  </si>
  <si>
    <t>ANXIETY DISORDERS</t>
  </si>
  <si>
    <t>NEURODEVELOPMENTAL DISORDERS</t>
  </si>
  <si>
    <t>STRESS-TRAUMA RELATED DISORDERS</t>
  </si>
  <si>
    <t>SOMATOFORM DISORDERS</t>
  </si>
  <si>
    <t>DISRUPTIVE IMPULSE CONTROL &amp; CONDUCT DISORDER</t>
  </si>
  <si>
    <t>SLEEP-WAKE DISORDERS</t>
  </si>
  <si>
    <t>SUICIDAL BEHAVIOUR</t>
  </si>
  <si>
    <t xml:space="preserve">OBSESSIVE -COMPULSIVE AND RELATED </t>
  </si>
  <si>
    <t>PERSONALITY DISORDERS</t>
  </si>
  <si>
    <t>OTHER BEHAVIORAL ADDICTIONS</t>
  </si>
  <si>
    <t>2023/24 ANNUAL OPD PSYCHIATRIC MORBIDITY SUMMARY</t>
  </si>
  <si>
    <t>HIGHEST TO THE LOWEST</t>
  </si>
  <si>
    <t>PAEDIATRICS</t>
  </si>
  <si>
    <t xml:space="preserve">CLINICS </t>
  </si>
  <si>
    <t>SCHIZOPHRENIA SPECTRUM DISORDERS</t>
  </si>
  <si>
    <t>OTHER PSYCHOTIC DISORDERS</t>
  </si>
  <si>
    <t>NUERODEVELOPMENTAL DISORDERS</t>
  </si>
  <si>
    <t>DISRUPTIVE IMPULSE CONTROL AND CONDUCT DISORDERS</t>
  </si>
  <si>
    <t>PERINATAL MENTAL DISORDERS</t>
  </si>
  <si>
    <t>OBSESSIVE-COMPULSIVE AND RELATED DISORDERS</t>
  </si>
  <si>
    <t>OTHER BEHAVIOURAL ADDICTIONS</t>
  </si>
  <si>
    <t>SEXUAL DYSFUNCTIONAL DISORDERS</t>
  </si>
  <si>
    <t>EATING DISORDERS</t>
  </si>
  <si>
    <t xml:space="preserve">2024/25 ANNUAL PSYCHIATRIC MORBIDITY </t>
  </si>
  <si>
    <t>PSYCH OPD</t>
  </si>
  <si>
    <t>CLINICS</t>
  </si>
  <si>
    <t>NO.</t>
  </si>
  <si>
    <t>CSAT</t>
  </si>
  <si>
    <t>YOUTH &amp; ADOLESCENTS</t>
  </si>
  <si>
    <t>PSYCHO THERAPY</t>
  </si>
  <si>
    <t>PAEDS &gt;5YRS</t>
  </si>
  <si>
    <t>PAEDS &lt;5YRS</t>
  </si>
  <si>
    <t>LAIPAP</t>
  </si>
  <si>
    <t>WARDS</t>
  </si>
  <si>
    <t>N</t>
  </si>
  <si>
    <t>R</t>
  </si>
  <si>
    <t>STRESS TRAUMA RELATED DISORDERS</t>
  </si>
  <si>
    <t>SLEEP WAKE DIORDERS</t>
  </si>
  <si>
    <t xml:space="preserve">PERINATAL MENTAL DISORDERS </t>
  </si>
  <si>
    <t>SEXUAL DYSFUNCTIONAL DISODERS</t>
  </si>
  <si>
    <t>OBSESSIVE COMPULSIVE AND RELATED DISORDERS</t>
  </si>
  <si>
    <t>DISRUPTIVE IMPLUSIVE CONTROL AND CONDUCT DISORDERS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</si>
</sst>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(* #,##0_);_(* \(#,##0\);_(* &quot;-&quot;??_);_(@_)"/>
    <numFmt numFmtId="166" formatCode="0_);\(0\)"/>
    <numFmt numFmtId="167" formatCode="_-* #,##0_-;\-* #,##0_-;_-* &quot;-&quot;??_-;_-@_-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indexed="10"/>
      <name val="Bookman Old Style"/>
      <family val="1"/>
    </font>
    <font>
      <sz val="12"/>
      <name val="Arial"/>
      <family val="2"/>
    </font>
    <font>
      <sz val="9"/>
      <name val="Bookman Old Style"/>
      <family val="1"/>
    </font>
    <font>
      <sz val="12"/>
      <name val="Bookman Old Style"/>
      <family val="1"/>
    </font>
    <font>
      <b/>
      <sz val="12"/>
      <name val="Bookman Old Style"/>
      <family val="1"/>
    </font>
    <font>
      <sz val="12"/>
      <color theme="1"/>
      <name val="Bookman Old Style"/>
      <family val="1"/>
    </font>
    <font>
      <b/>
      <sz val="12"/>
      <color theme="4"/>
      <name val="Bookman Old Style"/>
      <family val="1"/>
    </font>
    <font>
      <b/>
      <sz val="12"/>
      <color rgb="FF00B050"/>
      <name val="Bookman Old Style"/>
      <family val="1"/>
    </font>
    <font>
      <b/>
      <sz val="10"/>
      <color rgb="FF0070C0"/>
      <name val="Bookman Old Style"/>
      <family val="1"/>
    </font>
    <font>
      <b/>
      <sz val="10"/>
      <color rgb="FF0070C0"/>
      <name val="Arial Black"/>
      <family val="2"/>
    </font>
    <font>
      <b/>
      <sz val="10"/>
      <color rgb="FFFF0000"/>
      <name val="Bookman Old Style"/>
      <family val="1"/>
    </font>
    <font>
      <sz val="10"/>
      <name val="Arial"/>
      <family val="2"/>
    </font>
    <font>
      <b/>
      <sz val="11"/>
      <color theme="4"/>
      <name val="Bookman Old Style"/>
      <family val="1"/>
    </font>
    <font>
      <b/>
      <sz val="12"/>
      <color rgb="FF0070C0"/>
      <name val="Arial Black"/>
      <family val="2"/>
    </font>
    <font>
      <b/>
      <sz val="10"/>
      <color theme="4"/>
      <name val="Bookman Old Style"/>
      <family val="1"/>
    </font>
    <font>
      <b/>
      <sz val="10"/>
      <name val="Bookman Old Style"/>
      <family val="1"/>
    </font>
    <font>
      <sz val="10"/>
      <name val="Arial Black"/>
      <family val="2"/>
    </font>
    <font>
      <sz val="11"/>
      <name val="Arial"/>
      <family val="2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2"/>
      <color theme="9" tint="-0.249977111117893"/>
      <name val="Arial"/>
      <family val="2"/>
    </font>
    <font>
      <b/>
      <sz val="12"/>
      <color theme="9" tint="-0.249977111117893"/>
      <name val="Bookman Old Style"/>
      <family val="1"/>
    </font>
    <font>
      <b/>
      <sz val="11"/>
      <color rgb="FF00B0F0"/>
      <name val="Bookman Old Style"/>
      <family val="1"/>
    </font>
    <font>
      <b/>
      <sz val="11"/>
      <color rgb="FFFF0000"/>
      <name val="Bookman Old Style"/>
      <family val="1"/>
    </font>
    <font>
      <sz val="10"/>
      <color theme="1"/>
      <name val="Bookman Old Style"/>
      <family val="1"/>
    </font>
    <font>
      <b/>
      <sz val="12"/>
      <name val="Arial"/>
      <family val="2"/>
    </font>
    <font>
      <b/>
      <sz val="14"/>
      <color rgb="FFFF0000"/>
      <name val="Bookman Old Style"/>
      <family val="1"/>
    </font>
    <font>
      <b/>
      <sz val="10"/>
      <name val="Arial"/>
      <family val="2"/>
    </font>
    <font>
      <b/>
      <sz val="12"/>
      <color rgb="FFFF0000"/>
      <name val="Arial Black"/>
      <family val="2"/>
    </font>
    <font>
      <b/>
      <sz val="11"/>
      <color rgb="FFFF0000"/>
      <name val="Calibri Light"/>
      <family val="1"/>
      <scheme val="major"/>
    </font>
    <font>
      <b/>
      <sz val="11"/>
      <color rgb="FF00B0F0"/>
      <name val="Calibri Light"/>
      <family val="1"/>
      <scheme val="major"/>
    </font>
    <font>
      <sz val="11"/>
      <name val="Calibri Light"/>
      <family val="1"/>
      <scheme val="major"/>
    </font>
    <font>
      <b/>
      <sz val="11"/>
      <color rgb="FF0070C0"/>
      <name val="Bookman Old Style"/>
      <family val="1"/>
    </font>
    <font>
      <b/>
      <sz val="11"/>
      <color rgb="FF0070C0"/>
      <name val="Arial Black"/>
      <family val="2"/>
    </font>
    <font>
      <b/>
      <sz val="11"/>
      <color rgb="FF00B050"/>
      <name val="Bookman Old Style"/>
      <family val="1"/>
    </font>
    <font>
      <b/>
      <sz val="11"/>
      <name val="Bookman Old Style"/>
      <family val="1"/>
    </font>
    <font>
      <b/>
      <sz val="11"/>
      <color rgb="FF0070C0"/>
      <name val="Calibri Light"/>
      <family val="1"/>
      <scheme val="major"/>
    </font>
    <font>
      <b/>
      <sz val="11"/>
      <name val="Arial"/>
      <family val="2"/>
    </font>
    <font>
      <b/>
      <sz val="12"/>
      <color rgb="FFFF0000"/>
      <name val="Calibri"/>
      <family val="2"/>
      <scheme val="minor"/>
    </font>
    <font>
      <b/>
      <sz val="10"/>
      <color rgb="FF00B0F0"/>
      <name val="Calibri Light"/>
      <family val="1"/>
      <scheme val="major"/>
    </font>
    <font>
      <b/>
      <sz val="11"/>
      <color theme="1"/>
      <name val="Bookman Old Style"/>
      <family val="1"/>
    </font>
    <font>
      <b/>
      <sz val="12"/>
      <color rgb="FFFF0000"/>
      <name val="Bookman Old Style"/>
      <family val="1"/>
    </font>
    <font>
      <sz val="10"/>
      <color rgb="FFFF0000"/>
      <name val="Arial"/>
      <family val="2"/>
    </font>
    <font>
      <sz val="10"/>
      <color rgb="FF00B0F0"/>
      <name val="Arial"/>
      <family val="2"/>
    </font>
    <font>
      <sz val="11"/>
      <color rgb="FF00B0F0"/>
      <name val="Calibri Light"/>
      <family val="1"/>
      <scheme val="major"/>
    </font>
    <font>
      <sz val="10"/>
      <color rgb="FF00B0F0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name val="Calibri Light"/>
      <family val="1"/>
      <scheme val="major"/>
    </font>
    <font>
      <b/>
      <sz val="10"/>
      <color rgb="FFFF0000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10"/>
      <color rgb="FF0070C0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0"/>
      <color rgb="FF00B0F0"/>
      <name val="Arial Black"/>
      <family val="2"/>
    </font>
    <font>
      <sz val="11"/>
      <name val="Calibri Light"/>
      <family val="2"/>
      <scheme val="major"/>
    </font>
    <font>
      <b/>
      <sz val="11"/>
      <color rgb="FF0070C0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name val="Calibri Light"/>
      <family val="2"/>
      <scheme val="major"/>
    </font>
    <font>
      <b/>
      <sz val="14"/>
      <name val="Arial"/>
      <family val="2"/>
    </font>
    <font>
      <b/>
      <sz val="14"/>
      <color rgb="FFFF0000"/>
      <name val="Calibri Light"/>
      <family val="1"/>
      <scheme val="major"/>
    </font>
    <font>
      <b/>
      <sz val="12"/>
      <color rgb="FF0070C0"/>
      <name val="Calibri Light"/>
      <family val="2"/>
      <scheme val="major"/>
    </font>
    <font>
      <b/>
      <sz val="16"/>
      <color rgb="FFFF0000"/>
      <name val="Calibri Light"/>
      <family val="2"/>
      <scheme val="major"/>
    </font>
    <font>
      <sz val="14"/>
      <name val="Calibri Light"/>
      <family val="1"/>
      <scheme val="major"/>
    </font>
    <font>
      <b/>
      <sz val="14"/>
      <color rgb="FF00B0F0"/>
      <name val="Calibri Light"/>
      <family val="1"/>
      <scheme val="major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B0F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0" applyFont="1"/>
    <xf numFmtId="0" fontId="3" fillId="0" borderId="0" xfId="0" applyFont="1"/>
    <xf numFmtId="3" fontId="4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3" fontId="12" fillId="0" borderId="0" xfId="0" applyNumberFormat="1" applyFont="1" applyAlignment="1">
      <alignment horizontal="center" vertical="center"/>
    </xf>
    <xf numFmtId="165" fontId="16" fillId="0" borderId="0" xfId="1" applyNumberFormat="1" applyFont="1" applyBorder="1" applyAlignment="1">
      <alignment horizontal="center" vertical="center"/>
    </xf>
    <xf numFmtId="165" fontId="11" fillId="0" borderId="0" xfId="1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65" fontId="18" fillId="0" borderId="1" xfId="1" applyNumberFormat="1" applyFont="1" applyBorder="1" applyAlignment="1">
      <alignment horizontal="center" vertical="center"/>
    </xf>
    <xf numFmtId="165" fontId="18" fillId="0" borderId="2" xfId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left" vertical="center"/>
    </xf>
    <xf numFmtId="165" fontId="21" fillId="0" borderId="1" xfId="1" applyNumberFormat="1" applyFont="1" applyBorder="1" applyAlignment="1">
      <alignment horizontal="right"/>
    </xf>
    <xf numFmtId="0" fontId="21" fillId="0" borderId="1" xfId="0" applyFont="1" applyBorder="1" applyAlignment="1">
      <alignment horizontal="right" vertical="center"/>
    </xf>
    <xf numFmtId="0" fontId="22" fillId="0" borderId="2" xfId="0" applyFont="1" applyBorder="1" applyAlignment="1">
      <alignment horizontal="right" vertical="center"/>
    </xf>
    <xf numFmtId="0" fontId="22" fillId="0" borderId="1" xfId="0" applyFont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0" fontId="24" fillId="0" borderId="1" xfId="0" applyFont="1" applyBorder="1" applyAlignment="1">
      <alignment horizontal="right" vertical="center"/>
    </xf>
    <xf numFmtId="0" fontId="25" fillId="0" borderId="1" xfId="0" applyFont="1" applyBorder="1" applyAlignment="1">
      <alignment horizontal="right" vertical="center"/>
    </xf>
    <xf numFmtId="165" fontId="26" fillId="0" borderId="1" xfId="0" applyNumberFormat="1" applyFont="1" applyBorder="1" applyAlignment="1">
      <alignment horizontal="right" vertical="center"/>
    </xf>
    <xf numFmtId="165" fontId="27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23" fillId="0" borderId="1" xfId="1" applyNumberFormat="1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3" fontId="20" fillId="0" borderId="1" xfId="0" applyNumberFormat="1" applyFont="1" applyBorder="1" applyAlignment="1">
      <alignment vertical="center"/>
    </xf>
    <xf numFmtId="3" fontId="20" fillId="0" borderId="1" xfId="0" applyNumberFormat="1" applyFont="1" applyBorder="1" applyAlignment="1">
      <alignment horizontal="left" vertical="center" wrapText="1"/>
    </xf>
    <xf numFmtId="166" fontId="21" fillId="0" borderId="1" xfId="1" applyNumberFormat="1" applyFont="1" applyBorder="1" applyAlignment="1">
      <alignment horizontal="right"/>
    </xf>
    <xf numFmtId="166" fontId="26" fillId="0" borderId="1" xfId="0" applyNumberFormat="1" applyFont="1" applyBorder="1" applyAlignment="1">
      <alignment horizontal="right" vertical="center"/>
    </xf>
    <xf numFmtId="166" fontId="21" fillId="0" borderId="1" xfId="1" applyNumberFormat="1" applyFont="1" applyBorder="1" applyAlignment="1">
      <alignment horizontal="right" vertical="center"/>
    </xf>
    <xf numFmtId="0" fontId="29" fillId="0" borderId="1" xfId="0" applyFont="1" applyBorder="1" applyAlignment="1">
      <alignment vertical="center"/>
    </xf>
    <xf numFmtId="165" fontId="29" fillId="0" borderId="1" xfId="1" applyNumberFormat="1" applyFont="1" applyBorder="1" applyAlignment="1">
      <alignment horizontal="right" vertical="center"/>
    </xf>
    <xf numFmtId="165" fontId="24" fillId="0" borderId="1" xfId="1" applyNumberFormat="1" applyFont="1" applyBorder="1" applyAlignment="1">
      <alignment horizontal="right" vertical="center"/>
    </xf>
    <xf numFmtId="165" fontId="30" fillId="0" borderId="1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/>
    <xf numFmtId="3" fontId="33" fillId="0" borderId="0" xfId="0" applyNumberFormat="1" applyFont="1" applyAlignment="1">
      <alignment horizontal="left" vertical="center"/>
    </xf>
    <xf numFmtId="3" fontId="33" fillId="0" borderId="0" xfId="0" applyNumberFormat="1" applyFont="1" applyAlignment="1">
      <alignment vertical="center"/>
    </xf>
    <xf numFmtId="3" fontId="34" fillId="0" borderId="0" xfId="1" applyNumberFormat="1" applyFont="1" applyFill="1" applyAlignment="1">
      <alignment horizontal="center" vertical="center"/>
    </xf>
    <xf numFmtId="3" fontId="33" fillId="0" borderId="0" xfId="1" applyNumberFormat="1" applyFont="1" applyFill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5" fillId="0" borderId="0" xfId="0" applyNumberFormat="1" applyFont="1"/>
    <xf numFmtId="3" fontId="36" fillId="0" borderId="0" xfId="0" applyNumberFormat="1" applyFont="1" applyAlignment="1">
      <alignment horizontal="center" vertical="center"/>
    </xf>
    <xf numFmtId="3" fontId="37" fillId="0" borderId="0" xfId="0" applyNumberFormat="1" applyFont="1" applyAlignment="1">
      <alignment vertical="center"/>
    </xf>
    <xf numFmtId="3" fontId="16" fillId="0" borderId="0" xfId="1" applyNumberFormat="1" applyFont="1" applyBorder="1" applyAlignment="1">
      <alignment horizontal="center" vertical="center"/>
    </xf>
    <xf numFmtId="3" fontId="38" fillId="0" borderId="0" xfId="1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3" fontId="36" fillId="0" borderId="1" xfId="0" applyNumberFormat="1" applyFont="1" applyBorder="1" applyAlignment="1">
      <alignment horizontal="center" vertical="center"/>
    </xf>
    <xf numFmtId="3" fontId="37" fillId="0" borderId="1" xfId="0" applyNumberFormat="1" applyFont="1" applyBorder="1" applyAlignment="1">
      <alignment vertical="center"/>
    </xf>
    <xf numFmtId="3" fontId="16" fillId="0" borderId="1" xfId="1" applyNumberFormat="1" applyFont="1" applyBorder="1" applyAlignment="1">
      <alignment horizontal="center" vertical="center"/>
    </xf>
    <xf numFmtId="3" fontId="16" fillId="0" borderId="2" xfId="1" applyNumberFormat="1" applyFont="1" applyBorder="1" applyAlignment="1">
      <alignment horizontal="center" vertical="center"/>
    </xf>
    <xf numFmtId="3" fontId="39" fillId="0" borderId="1" xfId="0" applyNumberFormat="1" applyFont="1" applyBorder="1" applyAlignment="1">
      <alignment horizontal="center" vertical="center"/>
    </xf>
    <xf numFmtId="3" fontId="40" fillId="0" borderId="1" xfId="0" applyNumberFormat="1" applyFont="1" applyBorder="1" applyAlignment="1">
      <alignment vertical="center"/>
    </xf>
    <xf numFmtId="3" fontId="21" fillId="0" borderId="1" xfId="1" applyNumberFormat="1" applyFont="1" applyBorder="1" applyAlignment="1">
      <alignment horizontal="right"/>
    </xf>
    <xf numFmtId="3" fontId="21" fillId="0" borderId="1" xfId="0" applyNumberFormat="1" applyFont="1" applyBorder="1" applyAlignment="1">
      <alignment horizontal="right" vertical="center"/>
    </xf>
    <xf numFmtId="3" fontId="22" fillId="0" borderId="2" xfId="0" applyNumberFormat="1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3" fontId="23" fillId="0" borderId="1" xfId="0" applyNumberFormat="1" applyFont="1" applyBorder="1" applyAlignment="1">
      <alignment horizontal="right" vertical="center"/>
    </xf>
    <xf numFmtId="3" fontId="26" fillId="0" borderId="1" xfId="0" applyNumberFormat="1" applyFont="1" applyBorder="1" applyAlignment="1">
      <alignment horizontal="right" vertical="center"/>
    </xf>
    <xf numFmtId="3" fontId="27" fillId="0" borderId="1" xfId="0" applyNumberFormat="1" applyFont="1" applyBorder="1" applyAlignment="1">
      <alignment horizontal="center" vertical="center"/>
    </xf>
    <xf numFmtId="3" fontId="21" fillId="0" borderId="2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3" fontId="23" fillId="0" borderId="1" xfId="1" applyNumberFormat="1" applyFont="1" applyBorder="1" applyAlignment="1">
      <alignment vertical="center"/>
    </xf>
    <xf numFmtId="3" fontId="21" fillId="0" borderId="0" xfId="0" applyNumberFormat="1" applyFont="1" applyAlignment="1">
      <alignment vertical="center"/>
    </xf>
    <xf numFmtId="3" fontId="40" fillId="0" borderId="1" xfId="0" applyNumberFormat="1" applyFont="1" applyBorder="1" applyAlignment="1">
      <alignment vertical="center" wrapText="1"/>
    </xf>
    <xf numFmtId="3" fontId="21" fillId="0" borderId="1" xfId="0" applyNumberFormat="1" applyFont="1" applyBorder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/>
    </xf>
    <xf numFmtId="3" fontId="21" fillId="0" borderId="1" xfId="1" applyNumberFormat="1" applyFont="1" applyBorder="1" applyAlignment="1">
      <alignment horizontal="right" vertical="center"/>
    </xf>
    <xf numFmtId="3" fontId="40" fillId="0" borderId="1" xfId="0" applyNumberFormat="1" applyFont="1" applyBorder="1" applyAlignment="1">
      <alignment horizontal="left" vertical="center" wrapText="1"/>
    </xf>
    <xf numFmtId="3" fontId="41" fillId="0" borderId="0" xfId="0" applyNumberFormat="1" applyFont="1" applyAlignment="1">
      <alignment vertical="center"/>
    </xf>
    <xf numFmtId="3" fontId="23" fillId="0" borderId="1" xfId="0" applyNumberFormat="1" applyFont="1" applyBorder="1" applyAlignment="1">
      <alignment vertical="center"/>
    </xf>
    <xf numFmtId="3" fontId="27" fillId="0" borderId="1" xfId="0" applyNumberFormat="1" applyFont="1" applyBorder="1" applyAlignment="1">
      <alignment vertical="center"/>
    </xf>
    <xf numFmtId="3" fontId="23" fillId="0" borderId="0" xfId="0" applyNumberFormat="1" applyFont="1" applyAlignment="1">
      <alignment horizontal="center" vertical="center"/>
    </xf>
    <xf numFmtId="3" fontId="26" fillId="0" borderId="0" xfId="1" applyNumberFormat="1" applyFont="1" applyFill="1" applyAlignment="1">
      <alignment horizontal="center" vertical="center"/>
    </xf>
    <xf numFmtId="3" fontId="27" fillId="0" borderId="0" xfId="1" applyNumberFormat="1" applyFont="1" applyFill="1" applyAlignment="1">
      <alignment horizontal="center" vertical="center"/>
    </xf>
    <xf numFmtId="3" fontId="23" fillId="0" borderId="0" xfId="0" applyNumberFormat="1" applyFont="1"/>
    <xf numFmtId="0" fontId="42" fillId="0" borderId="0" xfId="0" applyFont="1"/>
    <xf numFmtId="3" fontId="5" fillId="0" borderId="0" xfId="0" applyNumberFormat="1" applyFont="1" applyAlignment="1">
      <alignment horizontal="left"/>
    </xf>
    <xf numFmtId="3" fontId="28" fillId="0" borderId="0" xfId="0" applyNumberFormat="1" applyFont="1" applyAlignment="1">
      <alignment horizontal="center"/>
    </xf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3" fontId="46" fillId="0" borderId="0" xfId="0" applyNumberFormat="1" applyFont="1" applyAlignment="1">
      <alignment horizontal="center"/>
    </xf>
    <xf numFmtId="3" fontId="47" fillId="0" borderId="0" xfId="0" applyNumberFormat="1" applyFont="1" applyAlignment="1">
      <alignment horizontal="center"/>
    </xf>
    <xf numFmtId="3" fontId="5" fillId="0" borderId="0" xfId="0" applyNumberFormat="1" applyFont="1"/>
    <xf numFmtId="0" fontId="49" fillId="0" borderId="0" xfId="0" applyFont="1" applyAlignment="1">
      <alignment horizontal="center" vertical="center"/>
    </xf>
    <xf numFmtId="37" fontId="43" fillId="0" borderId="0" xfId="1" applyNumberFormat="1" applyFont="1" applyFill="1" applyAlignment="1">
      <alignment horizontal="center" vertical="center"/>
    </xf>
    <xf numFmtId="0" fontId="49" fillId="0" borderId="0" xfId="0" applyFont="1"/>
    <xf numFmtId="0" fontId="49" fillId="0" borderId="11" xfId="0" applyFont="1" applyBorder="1" applyAlignment="1">
      <alignment horizontal="left" vertical="center"/>
    </xf>
    <xf numFmtId="37" fontId="50" fillId="0" borderId="3" xfId="1" applyNumberFormat="1" applyFont="1" applyFill="1" applyBorder="1" applyAlignment="1">
      <alignment horizontal="center" vertical="center"/>
    </xf>
    <xf numFmtId="37" fontId="43" fillId="0" borderId="1" xfId="1" applyNumberFormat="1" applyFont="1" applyFill="1" applyBorder="1" applyAlignment="1">
      <alignment vertical="center"/>
    </xf>
    <xf numFmtId="0" fontId="43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 wrapText="1"/>
    </xf>
    <xf numFmtId="0" fontId="52" fillId="0" borderId="1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37" fontId="34" fillId="0" borderId="0" xfId="1" applyNumberFormat="1" applyFont="1" applyFill="1" applyAlignment="1">
      <alignment horizontal="center" vertical="center"/>
    </xf>
    <xf numFmtId="37" fontId="33" fillId="0" borderId="0" xfId="1" applyNumberFormat="1" applyFont="1" applyFill="1" applyAlignment="1">
      <alignment horizontal="center" vertical="center"/>
    </xf>
    <xf numFmtId="0" fontId="35" fillId="0" borderId="0" xfId="0" applyFont="1"/>
    <xf numFmtId="0" fontId="43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horizontal="left" vertical="center"/>
    </xf>
    <xf numFmtId="0" fontId="55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vertical="center"/>
    </xf>
    <xf numFmtId="0" fontId="58" fillId="0" borderId="1" xfId="0" applyFont="1" applyBorder="1" applyAlignment="1">
      <alignment horizontal="right" vertical="center"/>
    </xf>
    <xf numFmtId="37" fontId="59" fillId="0" borderId="1" xfId="0" applyNumberFormat="1" applyFont="1" applyBorder="1" applyAlignment="1">
      <alignment horizontal="right" vertical="center"/>
    </xf>
    <xf numFmtId="0" fontId="59" fillId="0" borderId="1" xfId="0" applyFont="1" applyBorder="1" applyAlignment="1">
      <alignment horizontal="right" vertical="center"/>
    </xf>
    <xf numFmtId="37" fontId="60" fillId="0" borderId="1" xfId="0" applyNumberFormat="1" applyFont="1" applyBorder="1" applyAlignment="1">
      <alignment horizontal="right" vertical="center"/>
    </xf>
    <xf numFmtId="3" fontId="57" fillId="0" borderId="1" xfId="0" applyNumberFormat="1" applyFont="1" applyBorder="1" applyAlignment="1">
      <alignment horizontal="left" vertical="center"/>
    </xf>
    <xf numFmtId="0" fontId="61" fillId="0" borderId="1" xfId="0" applyFont="1" applyBorder="1" applyAlignment="1">
      <alignment horizontal="right" vertical="center"/>
    </xf>
    <xf numFmtId="37" fontId="61" fillId="0" borderId="1" xfId="1" applyNumberFormat="1" applyFont="1" applyFill="1" applyBorder="1" applyAlignment="1">
      <alignment horizontal="right" vertical="center"/>
    </xf>
    <xf numFmtId="37" fontId="61" fillId="0" borderId="1" xfId="0" applyNumberFormat="1" applyFont="1" applyBorder="1" applyAlignment="1">
      <alignment horizontal="right" vertical="center"/>
    </xf>
    <xf numFmtId="3" fontId="57" fillId="0" borderId="1" xfId="0" applyNumberFormat="1" applyFont="1" applyBorder="1" applyAlignment="1">
      <alignment horizontal="left" vertical="center" wrapText="1"/>
    </xf>
    <xf numFmtId="167" fontId="61" fillId="0" borderId="1" xfId="1" applyNumberFormat="1" applyFont="1" applyBorder="1" applyAlignment="1">
      <alignment horizontal="right" vertical="center"/>
    </xf>
    <xf numFmtId="0" fontId="61" fillId="0" borderId="1" xfId="0" applyFont="1" applyBorder="1" applyAlignment="1">
      <alignment horizontal="right" vertical="center" wrapText="1"/>
    </xf>
    <xf numFmtId="0" fontId="62" fillId="0" borderId="1" xfId="0" applyFont="1" applyBorder="1" applyAlignment="1">
      <alignment vertical="center"/>
    </xf>
    <xf numFmtId="0" fontId="63" fillId="0" borderId="1" xfId="0" applyFont="1" applyBorder="1" applyAlignment="1">
      <alignment vertical="center"/>
    </xf>
    <xf numFmtId="165" fontId="53" fillId="0" borderId="1" xfId="1" applyNumberFormat="1" applyFont="1" applyBorder="1" applyAlignment="1">
      <alignment horizontal="right" vertical="center"/>
    </xf>
    <xf numFmtId="0" fontId="53" fillId="0" borderId="1" xfId="0" applyFont="1" applyBorder="1" applyAlignment="1">
      <alignment horizontal="right" vertical="center"/>
    </xf>
    <xf numFmtId="167" fontId="53" fillId="0" borderId="1" xfId="1" applyNumberFormat="1" applyFont="1" applyBorder="1" applyAlignment="1">
      <alignment horizontal="right" vertical="center"/>
    </xf>
    <xf numFmtId="37" fontId="64" fillId="0" borderId="1" xfId="0" applyNumberFormat="1" applyFont="1" applyBorder="1" applyAlignment="1">
      <alignment horizontal="right" vertical="center"/>
    </xf>
    <xf numFmtId="167" fontId="64" fillId="0" borderId="1" xfId="1" applyNumberFormat="1" applyFont="1" applyBorder="1" applyAlignment="1">
      <alignment horizontal="right" vertical="center"/>
    </xf>
    <xf numFmtId="37" fontId="65" fillId="0" borderId="1" xfId="0" applyNumberFormat="1" applyFont="1" applyBorder="1" applyAlignment="1">
      <alignment horizontal="right" vertical="center"/>
    </xf>
    <xf numFmtId="0" fontId="66" fillId="0" borderId="0" xfId="0" applyFont="1" applyAlignment="1">
      <alignment horizontal="center" vertical="center"/>
    </xf>
    <xf numFmtId="37" fontId="67" fillId="0" borderId="0" xfId="1" applyNumberFormat="1" applyFont="1" applyFill="1" applyAlignment="1">
      <alignment horizontal="center" vertical="center"/>
    </xf>
    <xf numFmtId="37" fontId="63" fillId="0" borderId="0" xfId="1" applyNumberFormat="1" applyFont="1" applyFill="1" applyAlignment="1">
      <alignment horizontal="center" vertical="center"/>
    </xf>
    <xf numFmtId="0" fontId="66" fillId="0" borderId="0" xfId="0" applyFont="1"/>
    <xf numFmtId="0" fontId="29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 wrapText="1"/>
    </xf>
    <xf numFmtId="3" fontId="36" fillId="0" borderId="1" xfId="0" applyNumberFormat="1" applyFont="1" applyBorder="1" applyAlignment="1">
      <alignment horizontal="center" vertical="center" wrapText="1"/>
    </xf>
    <xf numFmtId="3" fontId="36" fillId="0" borderId="1" xfId="0" applyNumberFormat="1" applyFont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 wrapText="1"/>
    </xf>
    <xf numFmtId="3" fontId="27" fillId="0" borderId="4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8" fillId="0" borderId="3" xfId="0" applyFont="1" applyBorder="1" applyAlignment="1">
      <alignment horizontal="left" vertical="center"/>
    </xf>
    <xf numFmtId="0" fontId="48" fillId="0" borderId="4" xfId="0" applyFont="1" applyBorder="1" applyAlignment="1">
      <alignment horizontal="left" vertical="center"/>
    </xf>
    <xf numFmtId="37" fontId="43" fillId="0" borderId="5" xfId="1" applyNumberFormat="1" applyFont="1" applyFill="1" applyBorder="1" applyAlignment="1">
      <alignment horizontal="center" vertical="center"/>
    </xf>
    <xf numFmtId="37" fontId="43" fillId="0" borderId="6" xfId="1" applyNumberFormat="1" applyFont="1" applyFill="1" applyBorder="1" applyAlignment="1">
      <alignment horizontal="center" vertical="center"/>
    </xf>
    <xf numFmtId="37" fontId="43" fillId="0" borderId="5" xfId="1" applyNumberFormat="1" applyFont="1" applyFill="1" applyBorder="1" applyAlignment="1">
      <alignment horizontal="center" vertical="center" wrapText="1"/>
    </xf>
    <xf numFmtId="37" fontId="43" fillId="0" borderId="6" xfId="1" applyNumberFormat="1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37" fontId="43" fillId="0" borderId="9" xfId="1" applyNumberFormat="1" applyFont="1" applyFill="1" applyBorder="1" applyAlignment="1">
      <alignment horizontal="center" vertical="center" wrapText="1"/>
    </xf>
    <xf numFmtId="37" fontId="43" fillId="0" borderId="10" xfId="1" applyNumberFormat="1" applyFont="1" applyFill="1" applyBorder="1" applyAlignment="1">
      <alignment horizontal="center" vertical="center" wrapText="1"/>
    </xf>
    <xf numFmtId="3" fontId="44" fillId="0" borderId="2" xfId="0" applyNumberFormat="1" applyFont="1" applyBorder="1" applyAlignment="1">
      <alignment horizontal="center" vertical="center"/>
    </xf>
    <xf numFmtId="3" fontId="44" fillId="0" borderId="7" xfId="0" applyNumberFormat="1" applyFont="1" applyBorder="1" applyAlignment="1">
      <alignment horizontal="center" vertical="center"/>
    </xf>
    <xf numFmtId="3" fontId="44" fillId="0" borderId="8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45" fillId="0" borderId="1" xfId="0" applyNumberFormat="1" applyFont="1" applyBorder="1" applyAlignment="1">
      <alignment horizontal="center" wrapText="1"/>
    </xf>
    <xf numFmtId="37" fontId="43" fillId="0" borderId="2" xfId="1" applyNumberFormat="1" applyFont="1" applyFill="1" applyBorder="1" applyAlignment="1">
      <alignment horizontal="center" vertical="center" wrapText="1"/>
    </xf>
    <xf numFmtId="37" fontId="43" fillId="0" borderId="7" xfId="1" applyNumberFormat="1" applyFont="1" applyFill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/>
    </xf>
    <xf numFmtId="167" fontId="29" fillId="0" borderId="1" xfId="1" applyNumberFormat="1" applyFont="1" applyBorder="1" applyAlignment="1">
      <alignment vertical="center"/>
    </xf>
    <xf numFmtId="167" fontId="29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85"/>
  <sheetViews>
    <sheetView tabSelected="1" topLeftCell="A111" workbookViewId="0">
      <selection activeCell="D117" sqref="D117"/>
    </sheetView>
  </sheetViews>
  <sheetFormatPr defaultRowHeight="14.4" x14ac:dyDescent="0.3"/>
  <cols>
    <col min="1" max="1" width="7.33203125" customWidth="1"/>
    <col min="2" max="2" width="49.33203125" customWidth="1"/>
    <col min="4" max="4" width="10.5546875" customWidth="1"/>
    <col min="16" max="16" width="10.33203125" customWidth="1"/>
    <col min="17" max="17" width="8.109375" customWidth="1"/>
    <col min="18" max="18" width="6.88671875" customWidth="1"/>
    <col min="19" max="19" width="6.44140625" customWidth="1"/>
    <col min="20" max="20" width="7.88671875" customWidth="1"/>
    <col min="21" max="21" width="6.33203125" customWidth="1"/>
    <col min="22" max="22" width="8.5546875" customWidth="1"/>
    <col min="23" max="23" width="6.33203125" customWidth="1"/>
    <col min="24" max="24" width="4.6640625" customWidth="1"/>
    <col min="26" max="26" width="10.88671875" customWidth="1"/>
    <col min="27" max="27" width="11.109375" customWidth="1"/>
  </cols>
  <sheetData>
    <row r="1" spans="1:247" ht="18" x14ac:dyDescent="0.35">
      <c r="A1" s="2" t="s">
        <v>0</v>
      </c>
    </row>
    <row r="2" spans="1:247" ht="18" x14ac:dyDescent="0.35">
      <c r="A2" s="2"/>
    </row>
    <row r="3" spans="1:247" ht="18" x14ac:dyDescent="0.35">
      <c r="A3" s="2" t="s">
        <v>1</v>
      </c>
    </row>
    <row r="4" spans="1:247" x14ac:dyDescent="0.3">
      <c r="A4" s="1"/>
    </row>
    <row r="6" spans="1:247" s="12" customFormat="1" ht="20.25" customHeight="1" x14ac:dyDescent="0.3">
      <c r="A6" s="3" t="s">
        <v>2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7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9"/>
      <c r="AY6" s="9"/>
      <c r="AZ6" s="9"/>
      <c r="BA6" s="9"/>
      <c r="BB6" s="10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</row>
    <row r="7" spans="1:247" s="12" customFormat="1" ht="20.25" customHeight="1" x14ac:dyDescent="0.3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N7" s="13"/>
      <c r="O7" s="6"/>
      <c r="P7" s="6"/>
      <c r="Q7" s="6"/>
      <c r="R7" s="6"/>
      <c r="S7" s="6"/>
      <c r="T7" s="7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9"/>
      <c r="AY7" s="9"/>
      <c r="AZ7" s="9"/>
      <c r="BA7" s="9"/>
      <c r="BB7" s="10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</row>
    <row r="8" spans="1:247" s="20" customFormat="1" ht="24.75" customHeight="1" x14ac:dyDescent="0.3">
      <c r="A8" s="14"/>
      <c r="B8" s="15"/>
      <c r="C8" s="160" t="s">
        <v>3</v>
      </c>
      <c r="D8" s="160"/>
      <c r="E8" s="160" t="s">
        <v>4</v>
      </c>
      <c r="F8" s="160"/>
      <c r="G8" s="154" t="s">
        <v>5</v>
      </c>
      <c r="H8" s="154"/>
      <c r="I8" s="154" t="s">
        <v>6</v>
      </c>
      <c r="J8" s="154"/>
      <c r="K8" s="154" t="s">
        <v>7</v>
      </c>
      <c r="L8" s="154"/>
      <c r="M8" s="160" t="s">
        <v>8</v>
      </c>
      <c r="N8" s="160"/>
      <c r="O8" s="154" t="s">
        <v>9</v>
      </c>
      <c r="P8" s="154"/>
      <c r="Q8" s="155" t="s">
        <v>10</v>
      </c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7"/>
      <c r="AY8" s="17"/>
      <c r="AZ8" s="17"/>
      <c r="BA8" s="17"/>
      <c r="BB8" s="18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</row>
    <row r="9" spans="1:247" s="20" customFormat="1" ht="18.600000000000001" x14ac:dyDescent="0.3">
      <c r="A9" s="21" t="s">
        <v>11</v>
      </c>
      <c r="B9" s="22" t="s">
        <v>12</v>
      </c>
      <c r="C9" s="23" t="s">
        <v>13</v>
      </c>
      <c r="D9" s="23" t="s">
        <v>14</v>
      </c>
      <c r="E9" s="23" t="s">
        <v>13</v>
      </c>
      <c r="F9" s="24" t="s">
        <v>14</v>
      </c>
      <c r="G9" s="23" t="s">
        <v>13</v>
      </c>
      <c r="H9" s="23" t="s">
        <v>14</v>
      </c>
      <c r="I9" s="23" t="s">
        <v>13</v>
      </c>
      <c r="J9" s="23" t="s">
        <v>14</v>
      </c>
      <c r="K9" s="23" t="s">
        <v>13</v>
      </c>
      <c r="L9" s="23" t="s">
        <v>14</v>
      </c>
      <c r="M9" s="23" t="s">
        <v>13</v>
      </c>
      <c r="N9" s="23" t="s">
        <v>14</v>
      </c>
      <c r="O9" s="23" t="s">
        <v>13</v>
      </c>
      <c r="P9" s="23" t="s">
        <v>14</v>
      </c>
      <c r="Q9" s="155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7"/>
      <c r="AY9" s="17"/>
      <c r="AZ9" s="17"/>
      <c r="BA9" s="17"/>
      <c r="BB9" s="18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</row>
    <row r="10" spans="1:247" s="20" customFormat="1" ht="16.2" x14ac:dyDescent="0.25">
      <c r="A10" s="25">
        <v>1</v>
      </c>
      <c r="B10" s="26" t="s">
        <v>15</v>
      </c>
      <c r="C10" s="27">
        <v>1156</v>
      </c>
      <c r="D10" s="27">
        <v>4461</v>
      </c>
      <c r="E10" s="28">
        <v>30</v>
      </c>
      <c r="F10" s="29">
        <v>128</v>
      </c>
      <c r="G10" s="30">
        <v>88</v>
      </c>
      <c r="H10" s="30">
        <v>62</v>
      </c>
      <c r="I10" s="30">
        <v>0</v>
      </c>
      <c r="J10" s="31">
        <v>0</v>
      </c>
      <c r="K10" s="31">
        <v>6</v>
      </c>
      <c r="L10" s="31">
        <v>3</v>
      </c>
      <c r="M10" s="32">
        <v>0</v>
      </c>
      <c r="N10" s="33">
        <v>5</v>
      </c>
      <c r="O10" s="34">
        <f t="shared" ref="O10:P27" si="0">SUM(C10,E10,G10,I10,K10,M10)</f>
        <v>1280</v>
      </c>
      <c r="P10" s="34">
        <f t="shared" si="0"/>
        <v>4659</v>
      </c>
      <c r="Q10" s="35">
        <f>SUM(O10:P10)</f>
        <v>5939</v>
      </c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BB10" s="37"/>
    </row>
    <row r="11" spans="1:247" s="20" customFormat="1" ht="16.2" x14ac:dyDescent="0.25">
      <c r="A11" s="25">
        <v>2</v>
      </c>
      <c r="B11" s="26" t="s">
        <v>16</v>
      </c>
      <c r="C11" s="27">
        <v>1706</v>
      </c>
      <c r="D11" s="27">
        <v>2373</v>
      </c>
      <c r="E11" s="28">
        <v>38</v>
      </c>
      <c r="F11" s="29">
        <v>44</v>
      </c>
      <c r="G11" s="30">
        <v>57</v>
      </c>
      <c r="H11" s="30">
        <v>39</v>
      </c>
      <c r="I11" s="30">
        <v>19</v>
      </c>
      <c r="J11" s="38">
        <v>1024</v>
      </c>
      <c r="K11" s="31">
        <v>0</v>
      </c>
      <c r="L11" s="31">
        <v>0</v>
      </c>
      <c r="M11" s="32">
        <v>0</v>
      </c>
      <c r="N11" s="33">
        <v>0</v>
      </c>
      <c r="O11" s="34">
        <f t="shared" si="0"/>
        <v>1820</v>
      </c>
      <c r="P11" s="34">
        <f t="shared" si="0"/>
        <v>3480</v>
      </c>
      <c r="Q11" s="35">
        <f t="shared" ref="Q11:Q27" si="1">SUM(O11:P11)</f>
        <v>5300</v>
      </c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BB11" s="37"/>
    </row>
    <row r="12" spans="1:247" s="20" customFormat="1" ht="16.2" x14ac:dyDescent="0.25">
      <c r="A12" s="25">
        <v>3</v>
      </c>
      <c r="B12" s="26" t="s">
        <v>17</v>
      </c>
      <c r="C12" s="27">
        <v>797</v>
      </c>
      <c r="D12" s="27">
        <v>3131</v>
      </c>
      <c r="E12" s="28">
        <v>14</v>
      </c>
      <c r="F12" s="29">
        <v>41</v>
      </c>
      <c r="G12" s="30">
        <v>42</v>
      </c>
      <c r="H12" s="30">
        <v>21</v>
      </c>
      <c r="I12" s="30"/>
      <c r="J12" s="31"/>
      <c r="K12" s="31">
        <v>5</v>
      </c>
      <c r="L12" s="31">
        <v>1</v>
      </c>
      <c r="M12" s="32">
        <v>0</v>
      </c>
      <c r="N12" s="33">
        <v>0</v>
      </c>
      <c r="O12" s="34">
        <f t="shared" si="0"/>
        <v>858</v>
      </c>
      <c r="P12" s="34">
        <f t="shared" si="0"/>
        <v>3194</v>
      </c>
      <c r="Q12" s="35">
        <f t="shared" si="1"/>
        <v>4052</v>
      </c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BB12" s="37"/>
    </row>
    <row r="13" spans="1:247" s="41" customFormat="1" ht="16.2" x14ac:dyDescent="0.25">
      <c r="A13" s="25">
        <v>4</v>
      </c>
      <c r="B13" s="39" t="s">
        <v>18</v>
      </c>
      <c r="C13" s="27">
        <v>1111</v>
      </c>
      <c r="D13" s="27">
        <v>1319</v>
      </c>
      <c r="E13" s="28">
        <v>15</v>
      </c>
      <c r="F13" s="40">
        <v>57</v>
      </c>
      <c r="G13" s="28">
        <v>37</v>
      </c>
      <c r="H13" s="28">
        <v>14</v>
      </c>
      <c r="I13" s="28">
        <v>0</v>
      </c>
      <c r="J13" s="28">
        <v>6</v>
      </c>
      <c r="K13" s="28">
        <v>12</v>
      </c>
      <c r="L13" s="28">
        <v>3</v>
      </c>
      <c r="M13" s="32">
        <v>0</v>
      </c>
      <c r="N13" s="33">
        <v>0</v>
      </c>
      <c r="O13" s="34">
        <f t="shared" si="0"/>
        <v>1175</v>
      </c>
      <c r="P13" s="34">
        <f t="shared" si="0"/>
        <v>1399</v>
      </c>
      <c r="Q13" s="35">
        <f t="shared" si="1"/>
        <v>2574</v>
      </c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</row>
    <row r="14" spans="1:247" s="41" customFormat="1" ht="16.2" x14ac:dyDescent="0.25">
      <c r="A14" s="25">
        <v>5</v>
      </c>
      <c r="B14" s="26" t="s">
        <v>19</v>
      </c>
      <c r="C14" s="27">
        <v>752</v>
      </c>
      <c r="D14" s="27">
        <v>1145</v>
      </c>
      <c r="E14" s="28">
        <v>22</v>
      </c>
      <c r="F14" s="40">
        <v>52</v>
      </c>
      <c r="G14" s="28">
        <v>23</v>
      </c>
      <c r="H14" s="28">
        <v>21</v>
      </c>
      <c r="I14" s="28">
        <v>0</v>
      </c>
      <c r="J14" s="28">
        <v>2</v>
      </c>
      <c r="K14" s="28">
        <v>6</v>
      </c>
      <c r="L14" s="28">
        <v>3</v>
      </c>
      <c r="M14" s="32">
        <v>0</v>
      </c>
      <c r="N14" s="33">
        <v>0</v>
      </c>
      <c r="O14" s="34">
        <f t="shared" si="0"/>
        <v>803</v>
      </c>
      <c r="P14" s="34">
        <f t="shared" si="0"/>
        <v>1223</v>
      </c>
      <c r="Q14" s="35">
        <f t="shared" si="1"/>
        <v>2026</v>
      </c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</row>
    <row r="15" spans="1:247" s="41" customFormat="1" ht="16.2" x14ac:dyDescent="0.25">
      <c r="A15" s="25">
        <v>6</v>
      </c>
      <c r="B15" s="26" t="s">
        <v>20</v>
      </c>
      <c r="C15" s="27">
        <v>665</v>
      </c>
      <c r="D15" s="27">
        <v>502</v>
      </c>
      <c r="E15" s="28">
        <v>0</v>
      </c>
      <c r="F15" s="40">
        <v>0</v>
      </c>
      <c r="G15" s="28">
        <v>4</v>
      </c>
      <c r="H15" s="28">
        <v>2</v>
      </c>
      <c r="I15" s="28">
        <v>0</v>
      </c>
      <c r="J15" s="28">
        <v>0</v>
      </c>
      <c r="K15" s="28">
        <v>0</v>
      </c>
      <c r="L15" s="28">
        <v>0</v>
      </c>
      <c r="M15" s="32">
        <v>0</v>
      </c>
      <c r="N15" s="33">
        <v>0</v>
      </c>
      <c r="O15" s="34">
        <f t="shared" si="0"/>
        <v>669</v>
      </c>
      <c r="P15" s="34">
        <f t="shared" si="0"/>
        <v>504</v>
      </c>
      <c r="Q15" s="35">
        <f t="shared" si="1"/>
        <v>1173</v>
      </c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</row>
    <row r="16" spans="1:247" s="41" customFormat="1" ht="16.2" x14ac:dyDescent="0.25">
      <c r="A16" s="25">
        <v>7</v>
      </c>
      <c r="B16" s="26" t="s">
        <v>21</v>
      </c>
      <c r="C16" s="27">
        <v>266</v>
      </c>
      <c r="D16" s="27">
        <v>254</v>
      </c>
      <c r="E16" s="28">
        <v>0</v>
      </c>
      <c r="F16" s="40">
        <v>6</v>
      </c>
      <c r="G16" s="28">
        <v>7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32">
        <v>0</v>
      </c>
      <c r="N16" s="33">
        <v>0</v>
      </c>
      <c r="O16" s="34">
        <f t="shared" si="0"/>
        <v>273</v>
      </c>
      <c r="P16" s="34">
        <f t="shared" si="0"/>
        <v>260</v>
      </c>
      <c r="Q16" s="35">
        <f t="shared" si="1"/>
        <v>533</v>
      </c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</row>
    <row r="17" spans="1:247" s="41" customFormat="1" ht="16.2" x14ac:dyDescent="0.25">
      <c r="A17" s="25">
        <v>8</v>
      </c>
      <c r="B17" s="42" t="s">
        <v>22</v>
      </c>
      <c r="C17" s="27">
        <v>184</v>
      </c>
      <c r="D17" s="27">
        <v>237</v>
      </c>
      <c r="E17" s="28">
        <v>14</v>
      </c>
      <c r="F17" s="40">
        <v>22</v>
      </c>
      <c r="G17" s="28"/>
      <c r="H17" s="28"/>
      <c r="I17" s="28">
        <v>0</v>
      </c>
      <c r="J17" s="28">
        <v>0</v>
      </c>
      <c r="K17" s="28">
        <v>5</v>
      </c>
      <c r="L17" s="28">
        <v>3</v>
      </c>
      <c r="M17" s="32">
        <v>1</v>
      </c>
      <c r="N17" s="32">
        <v>0</v>
      </c>
      <c r="O17" s="34">
        <f t="shared" si="0"/>
        <v>204</v>
      </c>
      <c r="P17" s="34">
        <f t="shared" si="0"/>
        <v>262</v>
      </c>
      <c r="Q17" s="35">
        <f t="shared" si="1"/>
        <v>466</v>
      </c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</row>
    <row r="18" spans="1:247" s="41" customFormat="1" ht="16.2" x14ac:dyDescent="0.25">
      <c r="A18" s="25">
        <v>9</v>
      </c>
      <c r="B18" s="26" t="s">
        <v>23</v>
      </c>
      <c r="C18" s="27">
        <v>180</v>
      </c>
      <c r="D18" s="27">
        <v>175</v>
      </c>
      <c r="E18" s="28">
        <v>239</v>
      </c>
      <c r="F18" s="40">
        <v>593</v>
      </c>
      <c r="G18" s="28">
        <v>22</v>
      </c>
      <c r="H18" s="28">
        <v>25</v>
      </c>
      <c r="I18" s="28">
        <v>0</v>
      </c>
      <c r="J18" s="28">
        <v>0</v>
      </c>
      <c r="K18" s="28">
        <v>0</v>
      </c>
      <c r="L18" s="28">
        <v>0</v>
      </c>
      <c r="M18" s="32">
        <v>36</v>
      </c>
      <c r="N18" s="32">
        <v>65</v>
      </c>
      <c r="O18" s="34">
        <f t="shared" si="0"/>
        <v>477</v>
      </c>
      <c r="P18" s="34">
        <f t="shared" si="0"/>
        <v>858</v>
      </c>
      <c r="Q18" s="35">
        <f t="shared" si="1"/>
        <v>1335</v>
      </c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</row>
    <row r="19" spans="1:247" s="41" customFormat="1" ht="16.2" x14ac:dyDescent="0.25">
      <c r="A19" s="25">
        <v>10</v>
      </c>
      <c r="B19" s="26" t="s">
        <v>24</v>
      </c>
      <c r="C19" s="27">
        <v>174</v>
      </c>
      <c r="D19" s="27">
        <v>154</v>
      </c>
      <c r="E19" s="28">
        <v>18</v>
      </c>
      <c r="F19" s="40">
        <v>61</v>
      </c>
      <c r="G19" s="28">
        <v>8</v>
      </c>
      <c r="H19" s="28">
        <v>7</v>
      </c>
      <c r="I19" s="28">
        <v>0</v>
      </c>
      <c r="J19" s="28">
        <v>0</v>
      </c>
      <c r="K19" s="28">
        <v>0</v>
      </c>
      <c r="L19" s="28">
        <v>0</v>
      </c>
      <c r="M19" s="32">
        <v>2</v>
      </c>
      <c r="N19" s="32">
        <v>3</v>
      </c>
      <c r="O19" s="34">
        <f t="shared" si="0"/>
        <v>202</v>
      </c>
      <c r="P19" s="34">
        <f t="shared" si="0"/>
        <v>225</v>
      </c>
      <c r="Q19" s="35">
        <f t="shared" si="1"/>
        <v>427</v>
      </c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</row>
    <row r="20" spans="1:247" s="41" customFormat="1" ht="16.2" x14ac:dyDescent="0.25">
      <c r="A20" s="25">
        <v>11</v>
      </c>
      <c r="B20" s="43" t="s">
        <v>25</v>
      </c>
      <c r="C20" s="27">
        <v>33</v>
      </c>
      <c r="D20" s="27">
        <v>26</v>
      </c>
      <c r="E20" s="28">
        <v>2</v>
      </c>
      <c r="F20" s="40">
        <v>7</v>
      </c>
      <c r="G20" s="28"/>
      <c r="H20" s="28"/>
      <c r="I20" s="28">
        <v>0</v>
      </c>
      <c r="J20" s="28">
        <v>0</v>
      </c>
      <c r="K20" s="28">
        <v>0</v>
      </c>
      <c r="L20" s="28">
        <v>0</v>
      </c>
      <c r="M20" s="32">
        <v>0</v>
      </c>
      <c r="N20" s="32">
        <v>0</v>
      </c>
      <c r="O20" s="34">
        <f t="shared" si="0"/>
        <v>35</v>
      </c>
      <c r="P20" s="34">
        <f t="shared" si="0"/>
        <v>33</v>
      </c>
      <c r="Q20" s="35">
        <f t="shared" si="1"/>
        <v>68</v>
      </c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</row>
    <row r="21" spans="1:247" s="41" customFormat="1" ht="19.5" customHeight="1" x14ac:dyDescent="0.25">
      <c r="A21" s="25">
        <v>12</v>
      </c>
      <c r="B21" s="44" t="s">
        <v>26</v>
      </c>
      <c r="C21" s="27">
        <v>26</v>
      </c>
      <c r="D21" s="27">
        <v>10</v>
      </c>
      <c r="E21" s="28">
        <v>22</v>
      </c>
      <c r="F21" s="40">
        <v>36</v>
      </c>
      <c r="G21" s="28">
        <v>5</v>
      </c>
      <c r="H21" s="28">
        <v>4</v>
      </c>
      <c r="I21" s="28">
        <v>0</v>
      </c>
      <c r="J21" s="28">
        <v>0</v>
      </c>
      <c r="K21" s="28">
        <v>0</v>
      </c>
      <c r="L21" s="28">
        <v>0</v>
      </c>
      <c r="M21" s="32">
        <v>2</v>
      </c>
      <c r="N21" s="32">
        <v>0</v>
      </c>
      <c r="O21" s="34">
        <f t="shared" si="0"/>
        <v>55</v>
      </c>
      <c r="P21" s="34">
        <f t="shared" si="0"/>
        <v>50</v>
      </c>
      <c r="Q21" s="35">
        <f t="shared" si="1"/>
        <v>105</v>
      </c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</row>
    <row r="22" spans="1:247" s="41" customFormat="1" ht="16.2" x14ac:dyDescent="0.25">
      <c r="A22" s="25">
        <v>13</v>
      </c>
      <c r="B22" s="26" t="s">
        <v>27</v>
      </c>
      <c r="C22" s="27">
        <v>8</v>
      </c>
      <c r="D22" s="27">
        <v>21</v>
      </c>
      <c r="E22" s="28">
        <v>2</v>
      </c>
      <c r="F22" s="40">
        <v>3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32">
        <v>0</v>
      </c>
      <c r="N22" s="32">
        <v>0</v>
      </c>
      <c r="O22" s="34">
        <f t="shared" si="0"/>
        <v>10</v>
      </c>
      <c r="P22" s="34">
        <f t="shared" si="0"/>
        <v>24</v>
      </c>
      <c r="Q22" s="35">
        <f t="shared" si="1"/>
        <v>34</v>
      </c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</row>
    <row r="23" spans="1:247" s="41" customFormat="1" ht="16.2" x14ac:dyDescent="0.25">
      <c r="A23" s="25">
        <v>14</v>
      </c>
      <c r="B23" s="26" t="s">
        <v>28</v>
      </c>
      <c r="C23" s="27">
        <v>2</v>
      </c>
      <c r="D23" s="45">
        <v>0</v>
      </c>
      <c r="E23" s="28">
        <v>0</v>
      </c>
      <c r="F23" s="40">
        <v>2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32">
        <v>0</v>
      </c>
      <c r="N23" s="32">
        <v>0</v>
      </c>
      <c r="O23" s="34">
        <f t="shared" si="0"/>
        <v>2</v>
      </c>
      <c r="P23" s="34">
        <f t="shared" si="0"/>
        <v>2</v>
      </c>
      <c r="Q23" s="35">
        <f t="shared" si="1"/>
        <v>4</v>
      </c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</row>
    <row r="24" spans="1:247" s="41" customFormat="1" ht="16.2" x14ac:dyDescent="0.25">
      <c r="A24" s="25">
        <v>15</v>
      </c>
      <c r="B24" s="26" t="s">
        <v>29</v>
      </c>
      <c r="C24" s="45">
        <v>0</v>
      </c>
      <c r="D24" s="27">
        <v>2</v>
      </c>
      <c r="E24" s="28"/>
      <c r="F24" s="40"/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32">
        <v>0</v>
      </c>
      <c r="N24" s="32">
        <v>0</v>
      </c>
      <c r="O24" s="46">
        <f t="shared" si="0"/>
        <v>0</v>
      </c>
      <c r="P24" s="34">
        <f t="shared" si="0"/>
        <v>2</v>
      </c>
      <c r="Q24" s="35">
        <f t="shared" si="1"/>
        <v>2</v>
      </c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</row>
    <row r="25" spans="1:247" s="41" customFormat="1" ht="16.2" x14ac:dyDescent="0.25">
      <c r="A25" s="25">
        <v>16</v>
      </c>
      <c r="B25" s="26" t="s">
        <v>30</v>
      </c>
      <c r="C25" s="27">
        <v>1</v>
      </c>
      <c r="D25" s="45">
        <v>0</v>
      </c>
      <c r="E25" s="28"/>
      <c r="F25" s="40"/>
      <c r="G25" s="28">
        <v>1</v>
      </c>
      <c r="H25" s="28">
        <v>1</v>
      </c>
      <c r="I25" s="28">
        <v>0</v>
      </c>
      <c r="J25" s="28">
        <v>0</v>
      </c>
      <c r="K25" s="28">
        <v>0</v>
      </c>
      <c r="L25" s="28">
        <v>0</v>
      </c>
      <c r="M25" s="32">
        <v>0</v>
      </c>
      <c r="N25" s="32">
        <v>0</v>
      </c>
      <c r="O25" s="46">
        <f t="shared" si="0"/>
        <v>2</v>
      </c>
      <c r="P25" s="34">
        <f t="shared" si="0"/>
        <v>1</v>
      </c>
      <c r="Q25" s="35">
        <f t="shared" si="1"/>
        <v>3</v>
      </c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</row>
    <row r="26" spans="1:247" s="41" customFormat="1" ht="16.2" x14ac:dyDescent="0.3">
      <c r="A26" s="25">
        <v>17</v>
      </c>
      <c r="B26" s="26" t="s">
        <v>31</v>
      </c>
      <c r="C26" s="47">
        <v>0</v>
      </c>
      <c r="D26" s="47">
        <v>0</v>
      </c>
      <c r="E26" s="28">
        <v>0</v>
      </c>
      <c r="F26" s="40">
        <v>2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32">
        <v>0</v>
      </c>
      <c r="N26" s="32">
        <v>0</v>
      </c>
      <c r="O26" s="46">
        <f t="shared" si="0"/>
        <v>0</v>
      </c>
      <c r="P26" s="34">
        <f t="shared" si="0"/>
        <v>2</v>
      </c>
      <c r="Q26" s="35">
        <f t="shared" si="1"/>
        <v>2</v>
      </c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</row>
    <row r="27" spans="1:247" s="52" customFormat="1" ht="24.75" customHeight="1" x14ac:dyDescent="0.3">
      <c r="A27" s="21"/>
      <c r="B27" s="48" t="s">
        <v>9</v>
      </c>
      <c r="C27" s="49">
        <f>SUM(C10:C26)</f>
        <v>7061</v>
      </c>
      <c r="D27" s="49">
        <f t="shared" ref="D27:L27" si="2">SUM(D10:D26)</f>
        <v>13810</v>
      </c>
      <c r="E27" s="49">
        <f t="shared" si="2"/>
        <v>416</v>
      </c>
      <c r="F27" s="49">
        <f t="shared" si="2"/>
        <v>1054</v>
      </c>
      <c r="G27" s="49">
        <f t="shared" si="2"/>
        <v>294</v>
      </c>
      <c r="H27" s="49">
        <f t="shared" si="2"/>
        <v>196</v>
      </c>
      <c r="I27" s="49">
        <f t="shared" si="2"/>
        <v>19</v>
      </c>
      <c r="J27" s="49">
        <f t="shared" si="2"/>
        <v>1032</v>
      </c>
      <c r="K27" s="49">
        <f t="shared" si="2"/>
        <v>34</v>
      </c>
      <c r="L27" s="49">
        <f t="shared" si="2"/>
        <v>13</v>
      </c>
      <c r="M27" s="50">
        <f>SUM(M10:M26)</f>
        <v>41</v>
      </c>
      <c r="N27" s="50">
        <f>SUM(N10:N26)</f>
        <v>73</v>
      </c>
      <c r="O27" s="34">
        <f t="shared" si="0"/>
        <v>7865</v>
      </c>
      <c r="P27" s="34">
        <f t="shared" si="0"/>
        <v>16178</v>
      </c>
      <c r="Q27" s="51">
        <f t="shared" si="1"/>
        <v>24043</v>
      </c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BA27" s="17"/>
      <c r="BB27" s="18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</row>
    <row r="31" spans="1:247" ht="18.600000000000001" x14ac:dyDescent="0.45">
      <c r="A31" s="53" t="s">
        <v>32</v>
      </c>
    </row>
    <row r="32" spans="1:247" s="59" customFormat="1" ht="20.100000000000001" customHeight="1" x14ac:dyDescent="0.3">
      <c r="A32" s="54"/>
      <c r="B32" s="55" t="s">
        <v>33</v>
      </c>
      <c r="C32" s="56"/>
      <c r="D32" s="56"/>
      <c r="E32" s="56"/>
      <c r="F32" s="56"/>
      <c r="G32" s="57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6"/>
      <c r="BG32" s="56"/>
      <c r="BH32" s="56"/>
      <c r="BI32" s="56"/>
      <c r="BJ32" s="57"/>
    </row>
    <row r="33" spans="1:245" s="64" customFormat="1" ht="24.75" customHeight="1" x14ac:dyDescent="0.3">
      <c r="A33" s="60"/>
      <c r="B33" s="61"/>
      <c r="C33" s="156" t="s">
        <v>3</v>
      </c>
      <c r="D33" s="156"/>
      <c r="E33" s="157" t="s">
        <v>34</v>
      </c>
      <c r="F33" s="157"/>
      <c r="G33" s="157" t="s">
        <v>5</v>
      </c>
      <c r="H33" s="157"/>
      <c r="I33" s="157" t="s">
        <v>6</v>
      </c>
      <c r="J33" s="157"/>
      <c r="K33" s="157" t="s">
        <v>35</v>
      </c>
      <c r="L33" s="157"/>
      <c r="M33" s="157" t="s">
        <v>9</v>
      </c>
      <c r="N33" s="157"/>
      <c r="O33" s="158" t="s">
        <v>10</v>
      </c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2"/>
      <c r="AW33" s="62"/>
      <c r="AX33" s="62"/>
      <c r="AY33" s="62"/>
      <c r="AZ33" s="63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61"/>
      <c r="HZ33" s="61"/>
      <c r="IA33" s="61"/>
      <c r="IB33" s="61"/>
      <c r="IC33" s="61"/>
      <c r="ID33" s="61"/>
      <c r="IE33" s="61"/>
      <c r="IF33" s="61"/>
      <c r="IG33" s="61"/>
      <c r="IH33" s="61"/>
      <c r="II33" s="61"/>
      <c r="IJ33" s="61"/>
      <c r="IK33" s="61"/>
    </row>
    <row r="34" spans="1:245" s="64" customFormat="1" ht="17.399999999999999" x14ac:dyDescent="0.3">
      <c r="A34" s="65" t="s">
        <v>11</v>
      </c>
      <c r="B34" s="66" t="s">
        <v>12</v>
      </c>
      <c r="C34" s="67" t="s">
        <v>13</v>
      </c>
      <c r="D34" s="67" t="s">
        <v>14</v>
      </c>
      <c r="E34" s="67" t="s">
        <v>13</v>
      </c>
      <c r="F34" s="68" t="s">
        <v>14</v>
      </c>
      <c r="G34" s="67" t="s">
        <v>13</v>
      </c>
      <c r="H34" s="67" t="s">
        <v>14</v>
      </c>
      <c r="I34" s="67" t="s">
        <v>13</v>
      </c>
      <c r="J34" s="67" t="s">
        <v>14</v>
      </c>
      <c r="K34" s="67" t="s">
        <v>13</v>
      </c>
      <c r="L34" s="67" t="s">
        <v>14</v>
      </c>
      <c r="M34" s="67" t="s">
        <v>13</v>
      </c>
      <c r="N34" s="67" t="s">
        <v>14</v>
      </c>
      <c r="O34" s="1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2"/>
      <c r="AW34" s="62"/>
      <c r="AX34" s="62"/>
      <c r="AY34" s="62"/>
      <c r="AZ34" s="63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61"/>
      <c r="HZ34" s="61"/>
      <c r="IA34" s="61"/>
      <c r="IB34" s="61"/>
      <c r="IC34" s="61"/>
      <c r="ID34" s="61"/>
      <c r="IE34" s="61"/>
      <c r="IF34" s="61"/>
      <c r="IG34" s="61"/>
      <c r="IH34" s="61"/>
      <c r="II34" s="61"/>
      <c r="IJ34" s="61"/>
      <c r="IK34" s="61"/>
    </row>
    <row r="35" spans="1:245" s="64" customFormat="1" ht="17.399999999999999" x14ac:dyDescent="0.25">
      <c r="A35" s="69">
        <v>1</v>
      </c>
      <c r="B35" s="70" t="s">
        <v>36</v>
      </c>
      <c r="C35" s="71">
        <v>1245</v>
      </c>
      <c r="D35" s="71">
        <v>5364</v>
      </c>
      <c r="E35" s="72">
        <v>21</v>
      </c>
      <c r="F35" s="73">
        <v>121</v>
      </c>
      <c r="G35" s="74">
        <v>98</v>
      </c>
      <c r="H35" s="74">
        <v>80</v>
      </c>
      <c r="I35" s="74">
        <v>1</v>
      </c>
      <c r="J35" s="75">
        <v>18</v>
      </c>
      <c r="K35" s="75">
        <v>15</v>
      </c>
      <c r="L35" s="75">
        <v>3432</v>
      </c>
      <c r="M35" s="76">
        <f t="shared" ref="M35:N54" si="3">SUM(C35,E35,G35,I35,K35)</f>
        <v>1380</v>
      </c>
      <c r="N35" s="76">
        <f t="shared" si="3"/>
        <v>9015</v>
      </c>
      <c r="O35" s="77">
        <f t="shared" ref="O35:O55" si="4">SUM(M35:N35)</f>
        <v>10395</v>
      </c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2"/>
      <c r="AW35" s="62"/>
      <c r="AX35" s="62"/>
      <c r="AY35" s="62"/>
      <c r="AZ35" s="63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61"/>
      <c r="HZ35" s="61"/>
      <c r="IA35" s="61"/>
      <c r="IB35" s="61"/>
      <c r="IC35" s="61"/>
      <c r="ID35" s="61"/>
      <c r="IE35" s="61"/>
      <c r="IF35" s="61"/>
      <c r="IG35" s="61"/>
      <c r="IH35" s="61"/>
      <c r="II35" s="61"/>
      <c r="IJ35" s="61"/>
      <c r="IK35" s="61"/>
    </row>
    <row r="36" spans="1:245" s="64" customFormat="1" x14ac:dyDescent="0.25">
      <c r="A36" s="69">
        <v>2</v>
      </c>
      <c r="B36" s="70" t="s">
        <v>16</v>
      </c>
      <c r="C36" s="71">
        <v>1690</v>
      </c>
      <c r="D36" s="71">
        <v>2506</v>
      </c>
      <c r="E36" s="72">
        <v>9</v>
      </c>
      <c r="F36" s="78">
        <v>8</v>
      </c>
      <c r="G36" s="72">
        <v>39</v>
      </c>
      <c r="H36" s="72">
        <v>38</v>
      </c>
      <c r="I36" s="72">
        <v>58</v>
      </c>
      <c r="J36" s="72">
        <v>3944</v>
      </c>
      <c r="K36" s="72">
        <v>46</v>
      </c>
      <c r="L36" s="72">
        <v>1567</v>
      </c>
      <c r="M36" s="76">
        <f t="shared" si="3"/>
        <v>1842</v>
      </c>
      <c r="N36" s="76">
        <f t="shared" si="3"/>
        <v>8063</v>
      </c>
      <c r="O36" s="77">
        <f t="shared" si="4"/>
        <v>9905</v>
      </c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Z36" s="80"/>
    </row>
    <row r="37" spans="1:245" s="64" customFormat="1" x14ac:dyDescent="0.25">
      <c r="A37" s="69">
        <v>3</v>
      </c>
      <c r="B37" s="70" t="s">
        <v>17</v>
      </c>
      <c r="C37" s="71">
        <v>798</v>
      </c>
      <c r="D37" s="71">
        <v>3564</v>
      </c>
      <c r="E37" s="72">
        <v>12</v>
      </c>
      <c r="F37" s="78">
        <v>46</v>
      </c>
      <c r="G37" s="72">
        <v>32</v>
      </c>
      <c r="H37" s="72">
        <v>30</v>
      </c>
      <c r="I37" s="72">
        <v>1</v>
      </c>
      <c r="J37" s="72">
        <v>5</v>
      </c>
      <c r="K37" s="72">
        <v>5</v>
      </c>
      <c r="L37" s="72">
        <v>2114</v>
      </c>
      <c r="M37" s="76">
        <f t="shared" si="3"/>
        <v>848</v>
      </c>
      <c r="N37" s="76">
        <f t="shared" si="3"/>
        <v>5759</v>
      </c>
      <c r="O37" s="77">
        <f t="shared" si="4"/>
        <v>6607</v>
      </c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Z37" s="80"/>
    </row>
    <row r="38" spans="1:245" s="64" customFormat="1" x14ac:dyDescent="0.25">
      <c r="A38" s="69">
        <v>4</v>
      </c>
      <c r="B38" s="70" t="s">
        <v>19</v>
      </c>
      <c r="C38" s="71">
        <v>744</v>
      </c>
      <c r="D38" s="71">
        <v>1108</v>
      </c>
      <c r="E38" s="72">
        <v>12</v>
      </c>
      <c r="F38" s="73">
        <v>52</v>
      </c>
      <c r="G38" s="74">
        <v>31</v>
      </c>
      <c r="H38" s="74">
        <v>25</v>
      </c>
      <c r="I38" s="74">
        <v>6</v>
      </c>
      <c r="J38" s="81">
        <v>32</v>
      </c>
      <c r="K38" s="75">
        <v>15</v>
      </c>
      <c r="L38" s="75">
        <v>871</v>
      </c>
      <c r="M38" s="76">
        <f t="shared" si="3"/>
        <v>808</v>
      </c>
      <c r="N38" s="76">
        <f t="shared" si="3"/>
        <v>2088</v>
      </c>
      <c r="O38" s="77">
        <f t="shared" si="4"/>
        <v>2896</v>
      </c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Z38" s="80"/>
    </row>
    <row r="39" spans="1:245" s="82" customFormat="1" x14ac:dyDescent="0.25">
      <c r="A39" s="69">
        <v>5</v>
      </c>
      <c r="B39" s="70" t="s">
        <v>37</v>
      </c>
      <c r="C39" s="71">
        <v>873</v>
      </c>
      <c r="D39" s="71">
        <v>909</v>
      </c>
      <c r="E39" s="72">
        <v>10</v>
      </c>
      <c r="F39" s="78">
        <v>55</v>
      </c>
      <c r="G39" s="72">
        <v>32</v>
      </c>
      <c r="H39" s="72">
        <v>19</v>
      </c>
      <c r="I39" s="72">
        <v>0</v>
      </c>
      <c r="J39" s="72">
        <v>6</v>
      </c>
      <c r="K39" s="72">
        <v>6</v>
      </c>
      <c r="L39" s="72">
        <v>375</v>
      </c>
      <c r="M39" s="76">
        <f t="shared" si="3"/>
        <v>921</v>
      </c>
      <c r="N39" s="76">
        <f t="shared" si="3"/>
        <v>1364</v>
      </c>
      <c r="O39" s="77">
        <f t="shared" si="4"/>
        <v>2285</v>
      </c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</row>
    <row r="40" spans="1:245" s="82" customFormat="1" x14ac:dyDescent="0.25">
      <c r="A40" s="69">
        <v>6</v>
      </c>
      <c r="B40" s="70" t="s">
        <v>20</v>
      </c>
      <c r="C40" s="71">
        <v>595</v>
      </c>
      <c r="D40" s="71">
        <v>544</v>
      </c>
      <c r="E40" s="72">
        <v>0</v>
      </c>
      <c r="F40" s="78">
        <v>2</v>
      </c>
      <c r="G40" s="72">
        <v>2</v>
      </c>
      <c r="H40" s="72">
        <v>2</v>
      </c>
      <c r="I40" s="72">
        <v>0</v>
      </c>
      <c r="J40" s="72">
        <v>0</v>
      </c>
      <c r="K40" s="72">
        <v>0</v>
      </c>
      <c r="L40" s="72">
        <v>279</v>
      </c>
      <c r="M40" s="76">
        <f t="shared" si="3"/>
        <v>597</v>
      </c>
      <c r="N40" s="76">
        <f t="shared" si="3"/>
        <v>827</v>
      </c>
      <c r="O40" s="77">
        <f t="shared" si="4"/>
        <v>1424</v>
      </c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</row>
    <row r="41" spans="1:245" s="82" customFormat="1" x14ac:dyDescent="0.25">
      <c r="A41" s="69">
        <v>7</v>
      </c>
      <c r="B41" s="70" t="s">
        <v>38</v>
      </c>
      <c r="C41" s="71">
        <v>131</v>
      </c>
      <c r="D41" s="71">
        <v>205</v>
      </c>
      <c r="E41" s="72">
        <v>191</v>
      </c>
      <c r="F41" s="78">
        <v>525</v>
      </c>
      <c r="G41" s="72">
        <v>19</v>
      </c>
      <c r="H41" s="72">
        <v>15</v>
      </c>
      <c r="I41" s="72">
        <v>0</v>
      </c>
      <c r="J41" s="72">
        <v>0</v>
      </c>
      <c r="K41" s="72">
        <v>23</v>
      </c>
      <c r="L41" s="72">
        <v>247</v>
      </c>
      <c r="M41" s="76">
        <f t="shared" si="3"/>
        <v>364</v>
      </c>
      <c r="N41" s="76">
        <f t="shared" si="3"/>
        <v>992</v>
      </c>
      <c r="O41" s="77">
        <f t="shared" si="4"/>
        <v>1356</v>
      </c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</row>
    <row r="42" spans="1:245" s="82" customFormat="1" x14ac:dyDescent="0.25">
      <c r="A42" s="69">
        <v>8</v>
      </c>
      <c r="B42" s="70" t="s">
        <v>21</v>
      </c>
      <c r="C42" s="71">
        <v>221</v>
      </c>
      <c r="D42" s="71">
        <v>260</v>
      </c>
      <c r="E42" s="72">
        <v>1</v>
      </c>
      <c r="F42" s="78">
        <v>6</v>
      </c>
      <c r="G42" s="72">
        <v>5</v>
      </c>
      <c r="H42" s="72">
        <v>5</v>
      </c>
      <c r="I42" s="72">
        <v>0</v>
      </c>
      <c r="J42" s="72">
        <v>0</v>
      </c>
      <c r="K42" s="72">
        <v>0</v>
      </c>
      <c r="L42" s="72">
        <v>158</v>
      </c>
      <c r="M42" s="76">
        <f t="shared" si="3"/>
        <v>227</v>
      </c>
      <c r="N42" s="76">
        <f t="shared" si="3"/>
        <v>429</v>
      </c>
      <c r="O42" s="77">
        <f t="shared" si="4"/>
        <v>656</v>
      </c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</row>
    <row r="43" spans="1:245" s="82" customFormat="1" x14ac:dyDescent="0.25">
      <c r="A43" s="69">
        <v>9</v>
      </c>
      <c r="B43" s="70" t="s">
        <v>22</v>
      </c>
      <c r="C43" s="71">
        <v>134</v>
      </c>
      <c r="D43" s="71">
        <v>218</v>
      </c>
      <c r="E43" s="72">
        <v>5</v>
      </c>
      <c r="F43" s="73">
        <v>10</v>
      </c>
      <c r="G43" s="74">
        <v>1</v>
      </c>
      <c r="H43" s="74">
        <v>1</v>
      </c>
      <c r="I43" s="74">
        <v>0</v>
      </c>
      <c r="J43" s="75">
        <v>2</v>
      </c>
      <c r="K43" s="75">
        <v>2</v>
      </c>
      <c r="L43" s="75">
        <v>190</v>
      </c>
      <c r="M43" s="76">
        <f t="shared" si="3"/>
        <v>142</v>
      </c>
      <c r="N43" s="76">
        <f t="shared" si="3"/>
        <v>421</v>
      </c>
      <c r="O43" s="77">
        <f t="shared" si="4"/>
        <v>563</v>
      </c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</row>
    <row r="44" spans="1:245" s="82" customFormat="1" ht="28.8" x14ac:dyDescent="0.3">
      <c r="A44" s="69">
        <v>10</v>
      </c>
      <c r="B44" s="83" t="s">
        <v>39</v>
      </c>
      <c r="C44" s="84">
        <v>20</v>
      </c>
      <c r="D44" s="84">
        <v>4</v>
      </c>
      <c r="E44" s="84">
        <v>13</v>
      </c>
      <c r="F44" s="85">
        <v>13</v>
      </c>
      <c r="G44" s="84">
        <v>1</v>
      </c>
      <c r="H44" s="84">
        <v>5</v>
      </c>
      <c r="I44" s="84">
        <v>0</v>
      </c>
      <c r="J44" s="84">
        <v>0</v>
      </c>
      <c r="K44" s="84">
        <v>93</v>
      </c>
      <c r="L44" s="84">
        <v>344</v>
      </c>
      <c r="M44" s="76">
        <f t="shared" si="3"/>
        <v>127</v>
      </c>
      <c r="N44" s="76">
        <f t="shared" si="3"/>
        <v>366</v>
      </c>
      <c r="O44" s="77">
        <f t="shared" si="4"/>
        <v>493</v>
      </c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</row>
    <row r="45" spans="1:245" s="82" customFormat="1" x14ac:dyDescent="0.25">
      <c r="A45" s="69">
        <v>11</v>
      </c>
      <c r="B45" s="70" t="s">
        <v>24</v>
      </c>
      <c r="C45" s="71">
        <v>95</v>
      </c>
      <c r="D45" s="71">
        <v>123</v>
      </c>
      <c r="E45" s="72">
        <v>7</v>
      </c>
      <c r="F45" s="78">
        <v>16</v>
      </c>
      <c r="G45" s="72">
        <v>10</v>
      </c>
      <c r="H45" s="72">
        <v>5</v>
      </c>
      <c r="I45" s="72">
        <v>0</v>
      </c>
      <c r="J45" s="72">
        <v>0</v>
      </c>
      <c r="K45" s="72">
        <v>23</v>
      </c>
      <c r="L45" s="72">
        <v>158</v>
      </c>
      <c r="M45" s="76">
        <f t="shared" si="3"/>
        <v>135</v>
      </c>
      <c r="N45" s="76">
        <f t="shared" si="3"/>
        <v>302</v>
      </c>
      <c r="O45" s="77">
        <f t="shared" si="4"/>
        <v>437</v>
      </c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</row>
    <row r="46" spans="1:245" s="82" customFormat="1" x14ac:dyDescent="0.3">
      <c r="A46" s="69">
        <v>12</v>
      </c>
      <c r="B46" s="70" t="s">
        <v>30</v>
      </c>
      <c r="C46" s="86">
        <v>9</v>
      </c>
      <c r="D46" s="86">
        <v>7</v>
      </c>
      <c r="E46" s="72">
        <v>2</v>
      </c>
      <c r="F46" s="78">
        <v>1</v>
      </c>
      <c r="G46" s="72">
        <v>5</v>
      </c>
      <c r="H46" s="72">
        <v>1</v>
      </c>
      <c r="I46" s="72">
        <v>0</v>
      </c>
      <c r="J46" s="72">
        <v>0</v>
      </c>
      <c r="K46" s="72">
        <v>8</v>
      </c>
      <c r="L46" s="72">
        <v>45</v>
      </c>
      <c r="M46" s="76">
        <f t="shared" si="3"/>
        <v>24</v>
      </c>
      <c r="N46" s="76">
        <f t="shared" si="3"/>
        <v>54</v>
      </c>
      <c r="O46" s="77">
        <f t="shared" si="4"/>
        <v>78</v>
      </c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</row>
    <row r="47" spans="1:245" s="82" customFormat="1" ht="17.25" customHeight="1" x14ac:dyDescent="0.25">
      <c r="A47" s="69">
        <v>13</v>
      </c>
      <c r="B47" s="70" t="s">
        <v>28</v>
      </c>
      <c r="C47" s="71">
        <v>32</v>
      </c>
      <c r="D47" s="71">
        <v>20</v>
      </c>
      <c r="E47" s="72">
        <v>0</v>
      </c>
      <c r="F47" s="78">
        <v>2</v>
      </c>
      <c r="G47" s="72">
        <v>0</v>
      </c>
      <c r="H47" s="72">
        <v>2</v>
      </c>
      <c r="I47" s="72">
        <v>0</v>
      </c>
      <c r="J47" s="72">
        <v>0</v>
      </c>
      <c r="K47" s="72">
        <v>9</v>
      </c>
      <c r="L47" s="72">
        <v>10</v>
      </c>
      <c r="M47" s="76">
        <f t="shared" si="3"/>
        <v>41</v>
      </c>
      <c r="N47" s="76">
        <f t="shared" si="3"/>
        <v>34</v>
      </c>
      <c r="O47" s="77">
        <f t="shared" si="4"/>
        <v>75</v>
      </c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</row>
    <row r="48" spans="1:245" s="82" customFormat="1" x14ac:dyDescent="0.25">
      <c r="A48" s="69">
        <v>14</v>
      </c>
      <c r="B48" s="70" t="s">
        <v>27</v>
      </c>
      <c r="C48" s="71">
        <v>8</v>
      </c>
      <c r="D48" s="71">
        <v>5</v>
      </c>
      <c r="E48" s="72">
        <v>1</v>
      </c>
      <c r="F48" s="78">
        <v>4</v>
      </c>
      <c r="G48" s="72">
        <v>1</v>
      </c>
      <c r="H48" s="72">
        <v>0</v>
      </c>
      <c r="I48" s="72">
        <v>1</v>
      </c>
      <c r="J48" s="72">
        <v>1</v>
      </c>
      <c r="K48" s="72">
        <v>1</v>
      </c>
      <c r="L48" s="72">
        <v>10</v>
      </c>
      <c r="M48" s="76">
        <f t="shared" si="3"/>
        <v>12</v>
      </c>
      <c r="N48" s="76">
        <f t="shared" si="3"/>
        <v>20</v>
      </c>
      <c r="O48" s="77">
        <f t="shared" si="4"/>
        <v>32</v>
      </c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</row>
    <row r="49" spans="1:245" s="82" customFormat="1" x14ac:dyDescent="0.25">
      <c r="A49" s="69">
        <v>15</v>
      </c>
      <c r="B49" s="70" t="s">
        <v>40</v>
      </c>
      <c r="C49" s="71">
        <v>3</v>
      </c>
      <c r="D49" s="71">
        <v>4</v>
      </c>
      <c r="E49" s="72">
        <v>0</v>
      </c>
      <c r="F49" s="78">
        <v>0</v>
      </c>
      <c r="G49" s="72">
        <v>0</v>
      </c>
      <c r="H49" s="72">
        <v>0</v>
      </c>
      <c r="I49" s="72">
        <v>0</v>
      </c>
      <c r="J49" s="72">
        <v>0</v>
      </c>
      <c r="K49" s="72">
        <v>1</v>
      </c>
      <c r="L49" s="72">
        <v>21</v>
      </c>
      <c r="M49" s="76">
        <f t="shared" si="3"/>
        <v>4</v>
      </c>
      <c r="N49" s="76">
        <f t="shared" si="3"/>
        <v>25</v>
      </c>
      <c r="O49" s="77">
        <f t="shared" si="4"/>
        <v>29</v>
      </c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</row>
    <row r="50" spans="1:245" s="82" customFormat="1" x14ac:dyDescent="0.25">
      <c r="A50" s="69">
        <v>16</v>
      </c>
      <c r="B50" s="70" t="s">
        <v>25</v>
      </c>
      <c r="C50" s="71">
        <v>4</v>
      </c>
      <c r="D50" s="71">
        <v>4</v>
      </c>
      <c r="E50" s="72">
        <v>1</v>
      </c>
      <c r="F50" s="78">
        <v>1</v>
      </c>
      <c r="G50" s="72">
        <v>0</v>
      </c>
      <c r="H50" s="72">
        <v>1</v>
      </c>
      <c r="I50" s="72">
        <v>0</v>
      </c>
      <c r="J50" s="72">
        <v>0</v>
      </c>
      <c r="K50" s="72">
        <v>2</v>
      </c>
      <c r="L50" s="72">
        <v>15</v>
      </c>
      <c r="M50" s="76">
        <f t="shared" si="3"/>
        <v>7</v>
      </c>
      <c r="N50" s="76">
        <f t="shared" si="3"/>
        <v>21</v>
      </c>
      <c r="O50" s="77">
        <f t="shared" si="4"/>
        <v>28</v>
      </c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</row>
    <row r="51" spans="1:245" s="82" customFormat="1" x14ac:dyDescent="0.3">
      <c r="A51" s="69">
        <v>17</v>
      </c>
      <c r="B51" s="87" t="s">
        <v>41</v>
      </c>
      <c r="C51" s="84">
        <v>1</v>
      </c>
      <c r="D51" s="84">
        <v>9</v>
      </c>
      <c r="E51" s="84">
        <v>0</v>
      </c>
      <c r="F51" s="85">
        <v>0</v>
      </c>
      <c r="G51" s="84">
        <v>0</v>
      </c>
      <c r="H51" s="84">
        <v>0</v>
      </c>
      <c r="I51" s="84">
        <v>0</v>
      </c>
      <c r="J51" s="84">
        <v>0</v>
      </c>
      <c r="K51" s="84">
        <v>1</v>
      </c>
      <c r="L51" s="84">
        <v>16</v>
      </c>
      <c r="M51" s="76">
        <f t="shared" si="3"/>
        <v>2</v>
      </c>
      <c r="N51" s="76">
        <f t="shared" si="3"/>
        <v>25</v>
      </c>
      <c r="O51" s="77">
        <f t="shared" si="4"/>
        <v>27</v>
      </c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</row>
    <row r="52" spans="1:245" s="82" customFormat="1" ht="18.75" customHeight="1" x14ac:dyDescent="0.25">
      <c r="A52" s="69">
        <v>18</v>
      </c>
      <c r="B52" s="70" t="s">
        <v>42</v>
      </c>
      <c r="C52" s="71">
        <v>1</v>
      </c>
      <c r="D52" s="71">
        <v>0</v>
      </c>
      <c r="E52" s="72">
        <v>0</v>
      </c>
      <c r="F52" s="78">
        <v>0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72">
        <v>5</v>
      </c>
      <c r="M52" s="76">
        <f t="shared" si="3"/>
        <v>1</v>
      </c>
      <c r="N52" s="76">
        <f t="shared" si="3"/>
        <v>5</v>
      </c>
      <c r="O52" s="77">
        <f t="shared" si="4"/>
        <v>6</v>
      </c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</row>
    <row r="53" spans="1:245" s="88" customFormat="1" ht="18.75" customHeight="1" x14ac:dyDescent="0.3">
      <c r="A53" s="69">
        <v>19</v>
      </c>
      <c r="B53" s="70" t="s">
        <v>43</v>
      </c>
      <c r="C53" s="86">
        <v>0</v>
      </c>
      <c r="D53" s="86">
        <v>0</v>
      </c>
      <c r="E53" s="86">
        <v>0</v>
      </c>
      <c r="F53" s="86">
        <v>0</v>
      </c>
      <c r="G53" s="86">
        <v>0</v>
      </c>
      <c r="H53" s="86">
        <v>0</v>
      </c>
      <c r="I53" s="86">
        <v>0</v>
      </c>
      <c r="J53" s="86">
        <v>0</v>
      </c>
      <c r="K53" s="86">
        <v>0</v>
      </c>
      <c r="L53" s="72">
        <v>1</v>
      </c>
      <c r="M53" s="76">
        <f t="shared" si="3"/>
        <v>0</v>
      </c>
      <c r="N53" s="76">
        <f t="shared" si="3"/>
        <v>1</v>
      </c>
      <c r="O53" s="77">
        <f t="shared" si="4"/>
        <v>1</v>
      </c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Y53" s="62"/>
      <c r="AZ53" s="63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  <c r="DX53" s="61"/>
      <c r="DY53" s="61"/>
      <c r="DZ53" s="61"/>
      <c r="EA53" s="61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61"/>
      <c r="EO53" s="61"/>
      <c r="EP53" s="61"/>
      <c r="EQ53" s="61"/>
      <c r="ER53" s="61"/>
      <c r="ES53" s="61"/>
      <c r="ET53" s="61"/>
      <c r="EU53" s="61"/>
      <c r="EV53" s="61"/>
      <c r="EW53" s="61"/>
      <c r="EX53" s="61"/>
      <c r="EY53" s="61"/>
      <c r="EZ53" s="61"/>
      <c r="FA53" s="61"/>
      <c r="FB53" s="61"/>
      <c r="FC53" s="61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61"/>
      <c r="FS53" s="61"/>
      <c r="FT53" s="61"/>
      <c r="FU53" s="61"/>
      <c r="FV53" s="61"/>
      <c r="FW53" s="61"/>
      <c r="FX53" s="61"/>
      <c r="FY53" s="61"/>
      <c r="FZ53" s="61"/>
      <c r="GA53" s="61"/>
      <c r="GB53" s="61"/>
      <c r="GC53" s="61"/>
      <c r="GD53" s="61"/>
      <c r="GE53" s="61"/>
      <c r="GF53" s="61"/>
      <c r="GG53" s="61"/>
      <c r="GH53" s="61"/>
      <c r="GI53" s="61"/>
      <c r="GJ53" s="61"/>
      <c r="GK53" s="61"/>
      <c r="GL53" s="61"/>
      <c r="GM53" s="61"/>
      <c r="GN53" s="61"/>
      <c r="GO53" s="61"/>
      <c r="GP53" s="61"/>
      <c r="GQ53" s="61"/>
      <c r="GR53" s="61"/>
      <c r="GS53" s="61"/>
      <c r="GT53" s="61"/>
      <c r="GU53" s="61"/>
      <c r="GV53" s="61"/>
      <c r="GW53" s="61"/>
      <c r="GX53" s="61"/>
      <c r="GY53" s="61"/>
      <c r="GZ53" s="61"/>
      <c r="HA53" s="61"/>
      <c r="HB53" s="61"/>
      <c r="HC53" s="61"/>
      <c r="HD53" s="61"/>
      <c r="HE53" s="61"/>
      <c r="HF53" s="61"/>
      <c r="HG53" s="61"/>
      <c r="HH53" s="61"/>
      <c r="HI53" s="61"/>
      <c r="HJ53" s="61"/>
      <c r="HK53" s="61"/>
      <c r="HL53" s="61"/>
      <c r="HM53" s="61"/>
      <c r="HN53" s="61"/>
      <c r="HO53" s="61"/>
      <c r="HP53" s="61"/>
      <c r="HQ53" s="61"/>
      <c r="HR53" s="61"/>
      <c r="HS53" s="61"/>
      <c r="HT53" s="61"/>
      <c r="HU53" s="61"/>
      <c r="HV53" s="61"/>
      <c r="HW53" s="61"/>
      <c r="HX53" s="61"/>
      <c r="HY53" s="61"/>
      <c r="HZ53" s="61"/>
      <c r="IA53" s="61"/>
      <c r="IB53" s="61"/>
      <c r="IC53" s="61"/>
      <c r="ID53" s="61"/>
      <c r="IE53" s="61"/>
      <c r="IF53" s="61"/>
      <c r="IG53" s="61"/>
      <c r="IH53" s="61"/>
      <c r="II53" s="61"/>
      <c r="IJ53" s="61"/>
      <c r="IK53" s="61"/>
    </row>
    <row r="54" spans="1:245" s="82" customFormat="1" ht="17.25" customHeight="1" x14ac:dyDescent="0.25">
      <c r="A54" s="69">
        <v>20</v>
      </c>
      <c r="B54" s="70" t="s">
        <v>44</v>
      </c>
      <c r="C54" s="71">
        <v>0</v>
      </c>
      <c r="D54" s="71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6">
        <f t="shared" si="3"/>
        <v>0</v>
      </c>
      <c r="N54" s="76">
        <f t="shared" si="3"/>
        <v>0</v>
      </c>
      <c r="O54" s="77">
        <f t="shared" si="4"/>
        <v>0</v>
      </c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</row>
    <row r="55" spans="1:245" s="94" customFormat="1" ht="21" customHeight="1" x14ac:dyDescent="0.25">
      <c r="A55" s="89"/>
      <c r="B55" s="90" t="s">
        <v>9</v>
      </c>
      <c r="C55" s="90">
        <f>SUM(C35:C54)</f>
        <v>6604</v>
      </c>
      <c r="D55" s="90">
        <f t="shared" ref="D55:N55" si="5">SUM(D35:D54)</f>
        <v>14854</v>
      </c>
      <c r="E55" s="90">
        <f t="shared" si="5"/>
        <v>285</v>
      </c>
      <c r="F55" s="90">
        <f t="shared" si="5"/>
        <v>862</v>
      </c>
      <c r="G55" s="90">
        <f t="shared" si="5"/>
        <v>276</v>
      </c>
      <c r="H55" s="90">
        <f t="shared" si="5"/>
        <v>229</v>
      </c>
      <c r="I55" s="90">
        <f t="shared" si="5"/>
        <v>67</v>
      </c>
      <c r="J55" s="90">
        <f t="shared" si="5"/>
        <v>4008</v>
      </c>
      <c r="K55" s="90">
        <f t="shared" si="5"/>
        <v>250</v>
      </c>
      <c r="L55" s="90">
        <f t="shared" si="5"/>
        <v>9858</v>
      </c>
      <c r="M55" s="90">
        <f t="shared" si="5"/>
        <v>7482</v>
      </c>
      <c r="N55" s="90">
        <f t="shared" si="5"/>
        <v>29811</v>
      </c>
      <c r="O55" s="77">
        <f t="shared" si="4"/>
        <v>37293</v>
      </c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2"/>
      <c r="BB55" s="92"/>
      <c r="BC55" s="92"/>
      <c r="BD55" s="92"/>
      <c r="BE55" s="93"/>
    </row>
    <row r="59" spans="1:245" ht="15.6" x14ac:dyDescent="0.3">
      <c r="A59" s="3" t="s">
        <v>45</v>
      </c>
      <c r="AA59" s="95"/>
    </row>
    <row r="60" spans="1:245" s="12" customFormat="1" ht="27" customHeight="1" x14ac:dyDescent="0.25">
      <c r="B60" s="96"/>
      <c r="C60" s="167" t="s">
        <v>46</v>
      </c>
      <c r="D60" s="168"/>
      <c r="E60" s="173" t="s">
        <v>47</v>
      </c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5"/>
      <c r="Y60" s="176" t="s">
        <v>9</v>
      </c>
      <c r="Z60" s="176"/>
      <c r="AA60" s="177" t="s">
        <v>10</v>
      </c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8"/>
      <c r="AR60" s="98"/>
      <c r="AS60" s="99"/>
      <c r="AT60" s="99"/>
      <c r="AU60" s="99"/>
      <c r="AV60" s="99"/>
      <c r="AW60" s="99"/>
      <c r="AX60" s="99"/>
      <c r="AY60" s="99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100"/>
      <c r="BL60" s="100"/>
      <c r="BM60" s="100"/>
      <c r="BN60" s="100"/>
      <c r="BO60" s="101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  <c r="EX60" s="102"/>
      <c r="EY60" s="102"/>
      <c r="EZ60" s="102"/>
      <c r="FA60" s="102"/>
      <c r="FB60" s="102"/>
      <c r="FC60" s="102"/>
      <c r="FD60" s="102"/>
      <c r="FE60" s="102"/>
      <c r="FF60" s="102"/>
      <c r="FG60" s="102"/>
      <c r="FH60" s="102"/>
      <c r="FI60" s="102"/>
      <c r="FJ60" s="102"/>
      <c r="FK60" s="102"/>
      <c r="FL60" s="102"/>
      <c r="FM60" s="102"/>
      <c r="FN60" s="102"/>
      <c r="FO60" s="102"/>
      <c r="FP60" s="102"/>
      <c r="FQ60" s="102"/>
      <c r="FR60" s="102"/>
      <c r="FS60" s="102"/>
      <c r="FT60" s="102"/>
      <c r="FU60" s="102"/>
      <c r="FV60" s="102"/>
      <c r="FW60" s="102"/>
      <c r="FX60" s="102"/>
      <c r="FY60" s="102"/>
      <c r="FZ60" s="102"/>
      <c r="GA60" s="102"/>
      <c r="GB60" s="102"/>
      <c r="GC60" s="102"/>
      <c r="GD60" s="102"/>
      <c r="GE60" s="102"/>
      <c r="GF60" s="102"/>
      <c r="GG60" s="102"/>
      <c r="GH60" s="102"/>
      <c r="GI60" s="102"/>
      <c r="GJ60" s="102"/>
      <c r="GK60" s="102"/>
      <c r="GL60" s="102"/>
      <c r="GM60" s="102"/>
      <c r="GN60" s="102"/>
      <c r="GO60" s="102"/>
      <c r="GP60" s="102"/>
      <c r="GQ60" s="102"/>
      <c r="GR60" s="102"/>
      <c r="GS60" s="102"/>
      <c r="GT60" s="102"/>
      <c r="GU60" s="102"/>
      <c r="GV60" s="102"/>
      <c r="GW60" s="102"/>
      <c r="GX60" s="102"/>
      <c r="GY60" s="102"/>
      <c r="GZ60" s="102"/>
      <c r="HA60" s="102"/>
      <c r="HB60" s="102"/>
      <c r="HC60" s="102"/>
      <c r="HD60" s="102"/>
      <c r="HE60" s="102"/>
    </row>
    <row r="61" spans="1:245" s="105" customFormat="1" ht="32.25" customHeight="1" x14ac:dyDescent="0.3">
      <c r="A61" s="161" t="s">
        <v>48</v>
      </c>
      <c r="B61" s="163" t="s">
        <v>12</v>
      </c>
      <c r="C61" s="171"/>
      <c r="D61" s="172"/>
      <c r="E61" s="165" t="s">
        <v>49</v>
      </c>
      <c r="F61" s="166"/>
      <c r="G61" s="167" t="s">
        <v>50</v>
      </c>
      <c r="H61" s="168"/>
      <c r="I61" s="167" t="s">
        <v>51</v>
      </c>
      <c r="J61" s="168"/>
      <c r="K61" s="178" t="s">
        <v>52</v>
      </c>
      <c r="L61" s="179"/>
      <c r="M61" s="180" t="s">
        <v>53</v>
      </c>
      <c r="N61" s="181"/>
      <c r="O61" s="182" t="s">
        <v>54</v>
      </c>
      <c r="P61" s="180"/>
      <c r="Q61" s="183" t="s">
        <v>5</v>
      </c>
      <c r="R61" s="170"/>
      <c r="S61" s="169" t="s">
        <v>6</v>
      </c>
      <c r="T61" s="170"/>
      <c r="U61" s="169" t="s">
        <v>55</v>
      </c>
      <c r="V61" s="170"/>
      <c r="W61" s="169" t="s">
        <v>7</v>
      </c>
      <c r="X61" s="170"/>
      <c r="Y61" s="176"/>
      <c r="Z61" s="176"/>
      <c r="AA61" s="177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4"/>
      <c r="BL61" s="104"/>
      <c r="BM61" s="104"/>
      <c r="BN61" s="104"/>
      <c r="BO61" s="104"/>
    </row>
    <row r="62" spans="1:245" s="117" customFormat="1" ht="15.6" hidden="1" x14ac:dyDescent="0.3">
      <c r="A62" s="162"/>
      <c r="B62" s="164"/>
      <c r="C62" s="106"/>
      <c r="D62" s="106"/>
      <c r="E62" s="106"/>
      <c r="F62" s="106"/>
      <c r="G62" s="106"/>
      <c r="H62" s="106"/>
      <c r="I62" s="106"/>
      <c r="J62" s="106"/>
      <c r="K62" s="107"/>
      <c r="L62" s="107"/>
      <c r="M62" s="107"/>
      <c r="N62" s="107"/>
      <c r="O62" s="108"/>
      <c r="P62" s="109"/>
      <c r="Q62" s="110"/>
      <c r="R62" s="111"/>
      <c r="S62" s="111"/>
      <c r="T62" s="111"/>
      <c r="U62" s="111"/>
      <c r="V62" s="111"/>
      <c r="W62" s="111"/>
      <c r="X62" s="111"/>
      <c r="Y62" s="112"/>
      <c r="Z62" s="113"/>
      <c r="AA62" s="114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5"/>
      <c r="BL62" s="115"/>
      <c r="BM62" s="115"/>
      <c r="BN62" s="115"/>
      <c r="BO62" s="116"/>
    </row>
    <row r="63" spans="1:245" s="117" customFormat="1" ht="15.6" x14ac:dyDescent="0.3">
      <c r="A63" s="118"/>
      <c r="B63" s="119"/>
      <c r="C63" s="120" t="s">
        <v>56</v>
      </c>
      <c r="D63" s="120" t="s">
        <v>57</v>
      </c>
      <c r="E63" s="120" t="s">
        <v>56</v>
      </c>
      <c r="F63" s="120" t="s">
        <v>57</v>
      </c>
      <c r="G63" s="120" t="s">
        <v>56</v>
      </c>
      <c r="H63" s="120" t="s">
        <v>57</v>
      </c>
      <c r="I63" s="120" t="s">
        <v>56</v>
      </c>
      <c r="J63" s="120" t="s">
        <v>57</v>
      </c>
      <c r="K63" s="120" t="s">
        <v>56</v>
      </c>
      <c r="L63" s="120" t="s">
        <v>57</v>
      </c>
      <c r="M63" s="120" t="s">
        <v>56</v>
      </c>
      <c r="N63" s="120" t="s">
        <v>57</v>
      </c>
      <c r="O63" s="120" t="s">
        <v>56</v>
      </c>
      <c r="P63" s="120" t="s">
        <v>57</v>
      </c>
      <c r="Q63" s="120" t="s">
        <v>56</v>
      </c>
      <c r="R63" s="120" t="s">
        <v>57</v>
      </c>
      <c r="S63" s="120" t="s">
        <v>56</v>
      </c>
      <c r="T63" s="120" t="s">
        <v>57</v>
      </c>
      <c r="U63" s="120" t="s">
        <v>56</v>
      </c>
      <c r="V63" s="120" t="s">
        <v>57</v>
      </c>
      <c r="W63" s="120" t="s">
        <v>56</v>
      </c>
      <c r="X63" s="120" t="s">
        <v>57</v>
      </c>
      <c r="Y63" s="121"/>
      <c r="Z63" s="122"/>
      <c r="AA63" s="12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5"/>
      <c r="BL63" s="115"/>
      <c r="BM63" s="115"/>
      <c r="BN63" s="115"/>
      <c r="BO63" s="116"/>
    </row>
    <row r="64" spans="1:245" s="117" customFormat="1" ht="16.2" x14ac:dyDescent="0.3">
      <c r="A64" s="124">
        <v>1</v>
      </c>
      <c r="B64" s="125" t="s">
        <v>22</v>
      </c>
      <c r="C64" s="126">
        <v>126</v>
      </c>
      <c r="D64" s="126">
        <v>214</v>
      </c>
      <c r="E64" s="126">
        <v>0</v>
      </c>
      <c r="F64" s="126">
        <v>10</v>
      </c>
      <c r="G64" s="126">
        <v>5</v>
      </c>
      <c r="H64" s="126">
        <v>24</v>
      </c>
      <c r="I64" s="126">
        <v>0</v>
      </c>
      <c r="J64" s="126">
        <v>243</v>
      </c>
      <c r="K64" s="126">
        <v>2</v>
      </c>
      <c r="L64" s="126">
        <v>11</v>
      </c>
      <c r="M64" s="126">
        <v>0</v>
      </c>
      <c r="N64" s="126">
        <v>0</v>
      </c>
      <c r="O64" s="126">
        <v>0</v>
      </c>
      <c r="P64" s="126">
        <v>0</v>
      </c>
      <c r="Q64" s="126">
        <v>0</v>
      </c>
      <c r="R64" s="126">
        <v>1</v>
      </c>
      <c r="S64" s="126">
        <v>0</v>
      </c>
      <c r="T64" s="126">
        <v>2</v>
      </c>
      <c r="U64" s="126">
        <v>0</v>
      </c>
      <c r="V64" s="126">
        <v>94</v>
      </c>
      <c r="W64" s="126">
        <v>0</v>
      </c>
      <c r="X64" s="126">
        <v>0</v>
      </c>
      <c r="Y64" s="127">
        <f t="shared" ref="Y64:Z84" si="6">SUM(C64,E64,G64,I64,K64,M64,O64,Q64,S64,U64,W64)</f>
        <v>133</v>
      </c>
      <c r="Z64" s="128">
        <f t="shared" si="6"/>
        <v>599</v>
      </c>
      <c r="AA64" s="129">
        <f>SUM(Y64:Z64)</f>
        <v>732</v>
      </c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5"/>
      <c r="BL64" s="115"/>
      <c r="BM64" s="115"/>
      <c r="BN64" s="115"/>
      <c r="BO64" s="116"/>
    </row>
    <row r="65" spans="1:67" s="117" customFormat="1" ht="16.2" x14ac:dyDescent="0.3">
      <c r="A65" s="124">
        <v>2</v>
      </c>
      <c r="B65" s="130" t="s">
        <v>19</v>
      </c>
      <c r="C65" s="131">
        <v>680</v>
      </c>
      <c r="D65" s="131">
        <v>1217</v>
      </c>
      <c r="E65" s="131">
        <v>0</v>
      </c>
      <c r="F65" s="131">
        <v>63</v>
      </c>
      <c r="G65" s="131">
        <v>16</v>
      </c>
      <c r="H65" s="131">
        <v>56</v>
      </c>
      <c r="I65" s="131">
        <v>0</v>
      </c>
      <c r="J65" s="131">
        <v>763</v>
      </c>
      <c r="K65" s="132">
        <v>12</v>
      </c>
      <c r="L65" s="132">
        <v>61</v>
      </c>
      <c r="M65" s="126">
        <v>0</v>
      </c>
      <c r="N65" s="126">
        <v>0</v>
      </c>
      <c r="O65" s="126">
        <v>0</v>
      </c>
      <c r="P65" s="126">
        <v>0</v>
      </c>
      <c r="Q65" s="133">
        <v>22</v>
      </c>
      <c r="R65" s="131">
        <v>5</v>
      </c>
      <c r="S65" s="131">
        <v>0</v>
      </c>
      <c r="T65" s="131">
        <v>41</v>
      </c>
      <c r="U65" s="131">
        <v>0</v>
      </c>
      <c r="V65" s="131">
        <v>849</v>
      </c>
      <c r="W65" s="131">
        <v>0</v>
      </c>
      <c r="X65" s="131">
        <v>1</v>
      </c>
      <c r="Y65" s="127">
        <f t="shared" si="6"/>
        <v>730</v>
      </c>
      <c r="Z65" s="128">
        <f t="shared" si="6"/>
        <v>3056</v>
      </c>
      <c r="AA65" s="129">
        <f t="shared" ref="AA65:AA84" si="7">SUM(Y65:Z65)</f>
        <v>3786</v>
      </c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113"/>
      <c r="BD65" s="113"/>
      <c r="BE65" s="113"/>
      <c r="BF65" s="113"/>
      <c r="BG65" s="113"/>
      <c r="BH65" s="113"/>
      <c r="BI65" s="113"/>
      <c r="BJ65" s="113"/>
      <c r="BK65" s="115"/>
      <c r="BL65" s="115"/>
      <c r="BM65" s="115"/>
      <c r="BN65" s="115"/>
      <c r="BO65" s="116"/>
    </row>
    <row r="66" spans="1:67" s="117" customFormat="1" ht="16.2" x14ac:dyDescent="0.3">
      <c r="A66" s="124">
        <v>3</v>
      </c>
      <c r="B66" s="130" t="s">
        <v>15</v>
      </c>
      <c r="C66" s="131">
        <v>1454</v>
      </c>
      <c r="D66" s="131">
        <v>6495</v>
      </c>
      <c r="E66" s="131">
        <v>0</v>
      </c>
      <c r="F66" s="131">
        <v>109</v>
      </c>
      <c r="G66" s="131">
        <v>14</v>
      </c>
      <c r="H66" s="131">
        <v>45</v>
      </c>
      <c r="I66" s="131">
        <v>0</v>
      </c>
      <c r="J66" s="131">
        <v>666</v>
      </c>
      <c r="K66" s="132">
        <v>17</v>
      </c>
      <c r="L66" s="132">
        <v>155</v>
      </c>
      <c r="M66" s="132">
        <v>1</v>
      </c>
      <c r="N66" s="132">
        <v>0</v>
      </c>
      <c r="O66" s="133">
        <v>0</v>
      </c>
      <c r="P66" s="133">
        <v>233</v>
      </c>
      <c r="Q66" s="133">
        <v>89</v>
      </c>
      <c r="R66" s="131">
        <v>60</v>
      </c>
      <c r="S66" s="131">
        <v>0</v>
      </c>
      <c r="T66" s="131">
        <v>9</v>
      </c>
      <c r="U66" s="131">
        <v>0</v>
      </c>
      <c r="V66" s="131">
        <v>4958</v>
      </c>
      <c r="W66" s="131">
        <v>0</v>
      </c>
      <c r="X66" s="131">
        <v>1</v>
      </c>
      <c r="Y66" s="127">
        <f t="shared" si="6"/>
        <v>1575</v>
      </c>
      <c r="Z66" s="128">
        <f t="shared" si="6"/>
        <v>12731</v>
      </c>
      <c r="AA66" s="129">
        <f t="shared" si="7"/>
        <v>14306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/>
      <c r="BB66" s="113"/>
      <c r="BC66" s="113"/>
      <c r="BD66" s="113"/>
      <c r="BE66" s="113"/>
      <c r="BF66" s="113"/>
      <c r="BG66" s="113"/>
      <c r="BH66" s="113"/>
      <c r="BI66" s="113"/>
      <c r="BJ66" s="113"/>
      <c r="BK66" s="115"/>
      <c r="BL66" s="115"/>
      <c r="BM66" s="115"/>
      <c r="BN66" s="115"/>
      <c r="BO66" s="116"/>
    </row>
    <row r="67" spans="1:67" s="117" customFormat="1" ht="16.2" x14ac:dyDescent="0.3">
      <c r="A67" s="124">
        <v>4</v>
      </c>
      <c r="B67" s="130" t="s">
        <v>17</v>
      </c>
      <c r="C67" s="131">
        <v>932</v>
      </c>
      <c r="D67" s="131">
        <v>4485</v>
      </c>
      <c r="E67" s="131">
        <v>0</v>
      </c>
      <c r="F67" s="131">
        <v>83</v>
      </c>
      <c r="G67" s="131">
        <v>5</v>
      </c>
      <c r="H67" s="131">
        <v>11</v>
      </c>
      <c r="I67" s="131">
        <v>0</v>
      </c>
      <c r="J67" s="131">
        <v>579</v>
      </c>
      <c r="K67" s="132">
        <v>15</v>
      </c>
      <c r="L67" s="132">
        <v>42</v>
      </c>
      <c r="M67" s="132">
        <v>0</v>
      </c>
      <c r="N67" s="132">
        <v>0</v>
      </c>
      <c r="O67" s="133">
        <v>0</v>
      </c>
      <c r="P67" s="133">
        <v>0</v>
      </c>
      <c r="Q67" s="133">
        <v>15</v>
      </c>
      <c r="R67" s="131">
        <v>23</v>
      </c>
      <c r="S67" s="131">
        <v>0</v>
      </c>
      <c r="T67" s="131">
        <v>2</v>
      </c>
      <c r="U67" s="131">
        <v>0</v>
      </c>
      <c r="V67" s="131">
        <v>2921</v>
      </c>
      <c r="W67" s="131">
        <v>0</v>
      </c>
      <c r="X67" s="131">
        <v>0</v>
      </c>
      <c r="Y67" s="127">
        <f t="shared" si="6"/>
        <v>967</v>
      </c>
      <c r="Z67" s="128">
        <f t="shared" si="6"/>
        <v>8146</v>
      </c>
      <c r="AA67" s="129">
        <f t="shared" si="7"/>
        <v>9113</v>
      </c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  <c r="AY67" s="113"/>
      <c r="AZ67" s="113"/>
      <c r="BA67" s="113"/>
      <c r="BB67" s="113"/>
      <c r="BC67" s="113"/>
      <c r="BD67" s="113"/>
      <c r="BE67" s="113"/>
      <c r="BF67" s="113"/>
      <c r="BG67" s="113"/>
      <c r="BH67" s="113"/>
      <c r="BI67" s="113"/>
      <c r="BJ67" s="113"/>
      <c r="BK67" s="115"/>
      <c r="BL67" s="115"/>
      <c r="BM67" s="115"/>
      <c r="BN67" s="115"/>
      <c r="BO67" s="116"/>
    </row>
    <row r="68" spans="1:67" s="117" customFormat="1" ht="16.2" x14ac:dyDescent="0.3">
      <c r="A68" s="124">
        <v>5</v>
      </c>
      <c r="B68" s="130" t="s">
        <v>18</v>
      </c>
      <c r="C68" s="131">
        <v>795</v>
      </c>
      <c r="D68" s="131">
        <v>870</v>
      </c>
      <c r="E68" s="131">
        <v>0</v>
      </c>
      <c r="F68" s="131">
        <v>30</v>
      </c>
      <c r="G68" s="131">
        <v>4</v>
      </c>
      <c r="H68" s="131">
        <v>6</v>
      </c>
      <c r="I68" s="131">
        <v>0</v>
      </c>
      <c r="J68" s="131">
        <v>138</v>
      </c>
      <c r="K68" s="132">
        <v>20</v>
      </c>
      <c r="L68" s="132">
        <v>58</v>
      </c>
      <c r="M68" s="132">
        <v>0</v>
      </c>
      <c r="N68" s="132">
        <v>0</v>
      </c>
      <c r="O68" s="133">
        <v>0</v>
      </c>
      <c r="P68" s="133">
        <v>0</v>
      </c>
      <c r="Q68" s="133">
        <v>30</v>
      </c>
      <c r="R68" s="131">
        <v>5</v>
      </c>
      <c r="S68" s="131">
        <v>0</v>
      </c>
      <c r="T68" s="131">
        <v>0</v>
      </c>
      <c r="U68" s="131">
        <v>0</v>
      </c>
      <c r="V68" s="131">
        <v>526</v>
      </c>
      <c r="W68" s="131">
        <v>0</v>
      </c>
      <c r="X68" s="131">
        <v>0</v>
      </c>
      <c r="Y68" s="127">
        <f t="shared" si="6"/>
        <v>849</v>
      </c>
      <c r="Z68" s="128">
        <f t="shared" si="6"/>
        <v>1633</v>
      </c>
      <c r="AA68" s="129">
        <f t="shared" si="7"/>
        <v>2482</v>
      </c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  <c r="AU68" s="113"/>
      <c r="AV68" s="113"/>
      <c r="AW68" s="113"/>
      <c r="AX68" s="113"/>
      <c r="AY68" s="113"/>
      <c r="AZ68" s="113"/>
      <c r="BA68" s="113"/>
      <c r="BB68" s="113"/>
      <c r="BC68" s="113"/>
      <c r="BD68" s="113"/>
      <c r="BE68" s="113"/>
      <c r="BF68" s="113"/>
      <c r="BG68" s="113"/>
      <c r="BH68" s="113"/>
      <c r="BI68" s="113"/>
      <c r="BJ68" s="113"/>
      <c r="BK68" s="115"/>
      <c r="BL68" s="115"/>
      <c r="BM68" s="115"/>
      <c r="BN68" s="115"/>
      <c r="BO68" s="116"/>
    </row>
    <row r="69" spans="1:67" s="117" customFormat="1" ht="16.2" x14ac:dyDescent="0.3">
      <c r="A69" s="124">
        <v>0</v>
      </c>
      <c r="B69" s="130" t="s">
        <v>23</v>
      </c>
      <c r="C69" s="131">
        <v>159</v>
      </c>
      <c r="D69" s="131">
        <v>242</v>
      </c>
      <c r="E69" s="131">
        <v>0</v>
      </c>
      <c r="F69" s="131">
        <v>0</v>
      </c>
      <c r="G69" s="131">
        <v>43</v>
      </c>
      <c r="H69" s="131">
        <v>58</v>
      </c>
      <c r="I69" s="131">
        <v>0</v>
      </c>
      <c r="J69" s="131">
        <v>89</v>
      </c>
      <c r="K69" s="132">
        <v>214</v>
      </c>
      <c r="L69" s="132">
        <v>703</v>
      </c>
      <c r="M69" s="132">
        <v>54</v>
      </c>
      <c r="N69" s="132">
        <v>29</v>
      </c>
      <c r="O69" s="133">
        <v>0</v>
      </c>
      <c r="P69" s="133">
        <v>0</v>
      </c>
      <c r="Q69" s="133">
        <v>22</v>
      </c>
      <c r="R69" s="131">
        <v>8</v>
      </c>
      <c r="S69" s="131">
        <v>0</v>
      </c>
      <c r="T69" s="131">
        <v>1</v>
      </c>
      <c r="U69" s="131">
        <v>0</v>
      </c>
      <c r="V69" s="131">
        <v>166</v>
      </c>
      <c r="W69" s="131">
        <v>0</v>
      </c>
      <c r="X69" s="131">
        <v>1</v>
      </c>
      <c r="Y69" s="127">
        <f t="shared" si="6"/>
        <v>492</v>
      </c>
      <c r="Z69" s="128">
        <f t="shared" si="6"/>
        <v>1297</v>
      </c>
      <c r="AA69" s="129">
        <f t="shared" si="7"/>
        <v>1789</v>
      </c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  <c r="BJ69" s="113"/>
      <c r="BK69" s="115"/>
      <c r="BL69" s="115"/>
      <c r="BM69" s="115"/>
      <c r="BN69" s="115"/>
      <c r="BO69" s="116"/>
    </row>
    <row r="70" spans="1:67" s="117" customFormat="1" ht="16.2" x14ac:dyDescent="0.3">
      <c r="A70" s="124">
        <v>7</v>
      </c>
      <c r="B70" s="130" t="s">
        <v>20</v>
      </c>
      <c r="C70" s="131">
        <v>572</v>
      </c>
      <c r="D70" s="131">
        <v>615</v>
      </c>
      <c r="E70" s="131">
        <v>0</v>
      </c>
      <c r="F70" s="131">
        <v>214</v>
      </c>
      <c r="G70" s="131">
        <v>0</v>
      </c>
      <c r="H70" s="131">
        <v>0</v>
      </c>
      <c r="I70" s="131">
        <v>0</v>
      </c>
      <c r="J70" s="131">
        <v>45</v>
      </c>
      <c r="K70" s="132">
        <v>1</v>
      </c>
      <c r="L70" s="132">
        <v>3</v>
      </c>
      <c r="M70" s="132">
        <v>0</v>
      </c>
      <c r="N70" s="132">
        <v>0</v>
      </c>
      <c r="O70" s="133">
        <v>0</v>
      </c>
      <c r="P70" s="133">
        <v>0</v>
      </c>
      <c r="Q70" s="133">
        <v>5</v>
      </c>
      <c r="R70" s="131">
        <v>0</v>
      </c>
      <c r="S70" s="131">
        <v>0</v>
      </c>
      <c r="T70" s="131">
        <v>2</v>
      </c>
      <c r="U70" s="131">
        <v>0</v>
      </c>
      <c r="V70" s="131">
        <v>177</v>
      </c>
      <c r="W70" s="131">
        <v>0</v>
      </c>
      <c r="X70" s="131">
        <v>0</v>
      </c>
      <c r="Y70" s="127">
        <f t="shared" si="6"/>
        <v>578</v>
      </c>
      <c r="Z70" s="128">
        <f t="shared" si="6"/>
        <v>1056</v>
      </c>
      <c r="AA70" s="129">
        <f t="shared" si="7"/>
        <v>1634</v>
      </c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3"/>
      <c r="AW70" s="113"/>
      <c r="AX70" s="113"/>
      <c r="AY70" s="113"/>
      <c r="AZ70" s="113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5"/>
      <c r="BL70" s="115"/>
      <c r="BM70" s="115"/>
      <c r="BN70" s="115"/>
      <c r="BO70" s="116"/>
    </row>
    <row r="71" spans="1:67" s="117" customFormat="1" ht="13.5" customHeight="1" x14ac:dyDescent="0.3">
      <c r="A71" s="124">
        <v>8</v>
      </c>
      <c r="B71" s="134" t="s">
        <v>16</v>
      </c>
      <c r="C71" s="131">
        <v>1802</v>
      </c>
      <c r="D71" s="131">
        <v>3078</v>
      </c>
      <c r="E71" s="131">
        <v>0</v>
      </c>
      <c r="F71" s="131">
        <v>822</v>
      </c>
      <c r="G71" s="131">
        <v>35</v>
      </c>
      <c r="H71" s="131">
        <v>59</v>
      </c>
      <c r="I71" s="131">
        <v>0</v>
      </c>
      <c r="J71" s="131">
        <v>276</v>
      </c>
      <c r="K71" s="132">
        <v>12</v>
      </c>
      <c r="L71" s="132">
        <v>33</v>
      </c>
      <c r="M71" s="132">
        <v>0</v>
      </c>
      <c r="N71" s="132">
        <v>0</v>
      </c>
      <c r="O71" s="133">
        <v>0</v>
      </c>
      <c r="P71" s="133">
        <v>0</v>
      </c>
      <c r="Q71" s="133">
        <v>52</v>
      </c>
      <c r="R71" s="131">
        <v>27</v>
      </c>
      <c r="S71" s="131">
        <v>12</v>
      </c>
      <c r="T71" s="135">
        <v>2192</v>
      </c>
      <c r="U71" s="131">
        <v>0</v>
      </c>
      <c r="V71" s="135">
        <v>1459</v>
      </c>
      <c r="W71" s="131">
        <v>0</v>
      </c>
      <c r="X71" s="131">
        <v>0</v>
      </c>
      <c r="Y71" s="127">
        <f t="shared" si="6"/>
        <v>1913</v>
      </c>
      <c r="Z71" s="128">
        <f t="shared" si="6"/>
        <v>7946</v>
      </c>
      <c r="AA71" s="129">
        <f t="shared" si="7"/>
        <v>9859</v>
      </c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/>
      <c r="AS71" s="113"/>
      <c r="AT71" s="113"/>
      <c r="AU71" s="113"/>
      <c r="AV71" s="113"/>
      <c r="AW71" s="113"/>
      <c r="AX71" s="113"/>
      <c r="AY71" s="113"/>
      <c r="AZ71" s="113"/>
      <c r="BA71" s="113"/>
      <c r="BB71" s="113"/>
      <c r="BC71" s="113"/>
      <c r="BD71" s="113"/>
      <c r="BE71" s="113"/>
      <c r="BF71" s="113"/>
      <c r="BG71" s="113"/>
      <c r="BH71" s="113"/>
      <c r="BI71" s="113"/>
      <c r="BJ71" s="113"/>
      <c r="BK71" s="115"/>
      <c r="BL71" s="115"/>
      <c r="BM71" s="115"/>
      <c r="BN71" s="115"/>
      <c r="BO71" s="116"/>
    </row>
    <row r="72" spans="1:67" s="117" customFormat="1" ht="16.2" x14ac:dyDescent="0.3">
      <c r="A72" s="124">
        <v>9</v>
      </c>
      <c r="B72" s="130" t="s">
        <v>31</v>
      </c>
      <c r="C72" s="131">
        <v>6</v>
      </c>
      <c r="D72" s="131">
        <v>2</v>
      </c>
      <c r="E72" s="131">
        <v>0</v>
      </c>
      <c r="F72" s="131">
        <v>2</v>
      </c>
      <c r="G72" s="131">
        <v>1</v>
      </c>
      <c r="H72" s="131">
        <v>0</v>
      </c>
      <c r="I72" s="131">
        <v>0</v>
      </c>
      <c r="J72" s="131">
        <v>3</v>
      </c>
      <c r="K72" s="132">
        <v>0</v>
      </c>
      <c r="L72" s="132">
        <v>2</v>
      </c>
      <c r="M72" s="132">
        <v>0</v>
      </c>
      <c r="N72" s="132">
        <v>0</v>
      </c>
      <c r="O72" s="133">
        <v>0</v>
      </c>
      <c r="P72" s="133">
        <v>0</v>
      </c>
      <c r="Q72" s="133">
        <v>0</v>
      </c>
      <c r="R72" s="131">
        <v>0</v>
      </c>
      <c r="S72" s="131">
        <v>0</v>
      </c>
      <c r="T72" s="131">
        <v>0</v>
      </c>
      <c r="U72" s="131">
        <v>0</v>
      </c>
      <c r="V72" s="131">
        <v>0</v>
      </c>
      <c r="W72" s="131">
        <v>0</v>
      </c>
      <c r="X72" s="131">
        <v>0</v>
      </c>
      <c r="Y72" s="127">
        <f t="shared" si="6"/>
        <v>7</v>
      </c>
      <c r="Z72" s="128">
        <f t="shared" si="6"/>
        <v>9</v>
      </c>
      <c r="AA72" s="129">
        <f t="shared" si="7"/>
        <v>16</v>
      </c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13"/>
      <c r="AU72" s="113"/>
      <c r="AV72" s="113"/>
      <c r="AW72" s="113"/>
      <c r="AX72" s="113"/>
      <c r="AY72" s="113"/>
      <c r="AZ72" s="113"/>
      <c r="BA72" s="113"/>
      <c r="BB72" s="113"/>
      <c r="BC72" s="113"/>
      <c r="BD72" s="113"/>
      <c r="BE72" s="113"/>
      <c r="BF72" s="113"/>
      <c r="BG72" s="113"/>
      <c r="BH72" s="113"/>
      <c r="BI72" s="113"/>
      <c r="BJ72" s="113"/>
      <c r="BK72" s="115"/>
      <c r="BL72" s="115"/>
      <c r="BM72" s="115"/>
      <c r="BN72" s="115"/>
      <c r="BO72" s="116"/>
    </row>
    <row r="73" spans="1:67" s="117" customFormat="1" ht="16.2" x14ac:dyDescent="0.3">
      <c r="A73" s="124">
        <v>10</v>
      </c>
      <c r="B73" s="130" t="s">
        <v>21</v>
      </c>
      <c r="C73" s="131">
        <v>230</v>
      </c>
      <c r="D73" s="131">
        <v>334</v>
      </c>
      <c r="E73" s="131">
        <v>0</v>
      </c>
      <c r="F73" s="131">
        <v>0</v>
      </c>
      <c r="G73" s="131">
        <v>0</v>
      </c>
      <c r="H73" s="131">
        <v>0</v>
      </c>
      <c r="I73" s="131">
        <v>0</v>
      </c>
      <c r="J73" s="131">
        <v>16</v>
      </c>
      <c r="K73" s="132">
        <v>1</v>
      </c>
      <c r="L73" s="132">
        <v>2</v>
      </c>
      <c r="M73" s="132">
        <v>0</v>
      </c>
      <c r="N73" s="132">
        <v>0</v>
      </c>
      <c r="O73" s="133">
        <v>0</v>
      </c>
      <c r="P73" s="133">
        <v>0</v>
      </c>
      <c r="Q73" s="133">
        <v>0</v>
      </c>
      <c r="R73" s="131">
        <v>1</v>
      </c>
      <c r="S73" s="131">
        <v>0</v>
      </c>
      <c r="T73" s="131">
        <v>0</v>
      </c>
      <c r="U73" s="131">
        <v>0</v>
      </c>
      <c r="V73" s="131">
        <v>313</v>
      </c>
      <c r="W73" s="131">
        <v>0</v>
      </c>
      <c r="X73" s="131">
        <v>0</v>
      </c>
      <c r="Y73" s="127">
        <f t="shared" si="6"/>
        <v>231</v>
      </c>
      <c r="Z73" s="128">
        <f t="shared" si="6"/>
        <v>666</v>
      </c>
      <c r="AA73" s="129">
        <f t="shared" si="7"/>
        <v>897</v>
      </c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13"/>
      <c r="BC73" s="113"/>
      <c r="BD73" s="113"/>
      <c r="BE73" s="113"/>
      <c r="BF73" s="113"/>
      <c r="BG73" s="113"/>
      <c r="BH73" s="113"/>
      <c r="BI73" s="113"/>
      <c r="BJ73" s="113"/>
      <c r="BK73" s="115"/>
      <c r="BL73" s="115"/>
      <c r="BM73" s="115"/>
      <c r="BN73" s="115"/>
      <c r="BO73" s="116"/>
    </row>
    <row r="74" spans="1:67" s="117" customFormat="1" ht="16.2" x14ac:dyDescent="0.3">
      <c r="A74" s="124">
        <v>11</v>
      </c>
      <c r="B74" s="130" t="s">
        <v>58</v>
      </c>
      <c r="C74" s="131">
        <v>83</v>
      </c>
      <c r="D74" s="131">
        <v>137</v>
      </c>
      <c r="E74" s="131">
        <v>0</v>
      </c>
      <c r="F74" s="131">
        <v>5</v>
      </c>
      <c r="G74" s="131">
        <v>6</v>
      </c>
      <c r="H74" s="131">
        <v>35</v>
      </c>
      <c r="I74" s="131">
        <v>0</v>
      </c>
      <c r="J74" s="131">
        <v>132</v>
      </c>
      <c r="K74" s="132">
        <v>11</v>
      </c>
      <c r="L74" s="132">
        <v>35</v>
      </c>
      <c r="M74" s="132">
        <v>0</v>
      </c>
      <c r="N74" s="132">
        <v>0</v>
      </c>
      <c r="O74" s="133">
        <v>0</v>
      </c>
      <c r="P74" s="133">
        <v>0</v>
      </c>
      <c r="Q74" s="133">
        <v>4</v>
      </c>
      <c r="R74" s="131">
        <v>1</v>
      </c>
      <c r="S74" s="131">
        <v>0</v>
      </c>
      <c r="T74" s="131">
        <v>0</v>
      </c>
      <c r="U74" s="131">
        <v>0</v>
      </c>
      <c r="V74" s="131">
        <v>54</v>
      </c>
      <c r="W74" s="131">
        <v>0</v>
      </c>
      <c r="X74" s="131">
        <v>0</v>
      </c>
      <c r="Y74" s="127">
        <f t="shared" si="6"/>
        <v>104</v>
      </c>
      <c r="Z74" s="128">
        <f t="shared" si="6"/>
        <v>399</v>
      </c>
      <c r="AA74" s="129">
        <f t="shared" si="7"/>
        <v>503</v>
      </c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  <c r="AT74" s="113"/>
      <c r="AU74" s="113"/>
      <c r="AV74" s="113"/>
      <c r="AW74" s="113"/>
      <c r="AX74" s="113"/>
      <c r="AY74" s="113"/>
      <c r="AZ74" s="113"/>
      <c r="BA74" s="113"/>
      <c r="BB74" s="113"/>
      <c r="BC74" s="113"/>
      <c r="BD74" s="113"/>
      <c r="BE74" s="113"/>
      <c r="BF74" s="113"/>
      <c r="BG74" s="113"/>
      <c r="BH74" s="113"/>
      <c r="BI74" s="113"/>
      <c r="BJ74" s="113"/>
      <c r="BK74" s="115"/>
      <c r="BL74" s="115"/>
      <c r="BM74" s="115"/>
      <c r="BN74" s="115"/>
      <c r="BO74" s="116"/>
    </row>
    <row r="75" spans="1:67" s="117" customFormat="1" ht="16.2" x14ac:dyDescent="0.3">
      <c r="A75" s="124">
        <v>12</v>
      </c>
      <c r="B75" s="130" t="s">
        <v>25</v>
      </c>
      <c r="C75" s="131">
        <v>6</v>
      </c>
      <c r="D75" s="131">
        <v>12</v>
      </c>
      <c r="E75" s="131">
        <v>0</v>
      </c>
      <c r="F75" s="131">
        <v>0</v>
      </c>
      <c r="G75" s="131">
        <v>9</v>
      </c>
      <c r="H75" s="131">
        <v>11</v>
      </c>
      <c r="I75" s="131">
        <v>0</v>
      </c>
      <c r="J75" s="131">
        <v>10</v>
      </c>
      <c r="K75" s="132">
        <v>4</v>
      </c>
      <c r="L75" s="132">
        <v>7</v>
      </c>
      <c r="M75" s="132">
        <v>0</v>
      </c>
      <c r="N75" s="132">
        <v>0</v>
      </c>
      <c r="O75" s="133">
        <v>0</v>
      </c>
      <c r="P75" s="133">
        <v>0</v>
      </c>
      <c r="Q75" s="133">
        <v>0</v>
      </c>
      <c r="R75" s="131">
        <v>0</v>
      </c>
      <c r="S75" s="131">
        <v>0</v>
      </c>
      <c r="T75" s="131">
        <v>0</v>
      </c>
      <c r="U75" s="131">
        <v>0</v>
      </c>
      <c r="V75" s="131">
        <v>5</v>
      </c>
      <c r="W75" s="131">
        <v>0</v>
      </c>
      <c r="X75" s="131">
        <v>0</v>
      </c>
      <c r="Y75" s="127">
        <f t="shared" si="6"/>
        <v>19</v>
      </c>
      <c r="Z75" s="128">
        <f t="shared" si="6"/>
        <v>45</v>
      </c>
      <c r="AA75" s="129">
        <f t="shared" si="7"/>
        <v>64</v>
      </c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113"/>
      <c r="AT75" s="113"/>
      <c r="AU75" s="113"/>
      <c r="AV75" s="113"/>
      <c r="AW75" s="113"/>
      <c r="AX75" s="113"/>
      <c r="AY75" s="113"/>
      <c r="AZ75" s="113"/>
      <c r="BA75" s="113"/>
      <c r="BB75" s="113"/>
      <c r="BC75" s="113"/>
      <c r="BD75" s="113"/>
      <c r="BE75" s="113"/>
      <c r="BF75" s="113"/>
      <c r="BG75" s="113"/>
      <c r="BH75" s="113"/>
      <c r="BI75" s="113"/>
      <c r="BJ75" s="113"/>
      <c r="BK75" s="115"/>
      <c r="BL75" s="115"/>
      <c r="BM75" s="115"/>
      <c r="BN75" s="115"/>
      <c r="BO75" s="116"/>
    </row>
    <row r="76" spans="1:67" s="117" customFormat="1" ht="16.2" x14ac:dyDescent="0.3">
      <c r="A76" s="124">
        <v>13</v>
      </c>
      <c r="B76" s="130" t="s">
        <v>28</v>
      </c>
      <c r="C76" s="131">
        <v>29</v>
      </c>
      <c r="D76" s="131">
        <v>23</v>
      </c>
      <c r="E76" s="131">
        <v>0</v>
      </c>
      <c r="F76" s="131">
        <v>0</v>
      </c>
      <c r="G76" s="131">
        <v>0</v>
      </c>
      <c r="H76" s="131">
        <v>0</v>
      </c>
      <c r="I76" s="131">
        <v>0</v>
      </c>
      <c r="J76" s="131">
        <v>4</v>
      </c>
      <c r="K76" s="132">
        <v>1</v>
      </c>
      <c r="L76" s="132">
        <v>4</v>
      </c>
      <c r="M76" s="132">
        <v>0</v>
      </c>
      <c r="N76" s="132">
        <v>0</v>
      </c>
      <c r="O76" s="133">
        <v>0</v>
      </c>
      <c r="P76" s="133">
        <v>0</v>
      </c>
      <c r="Q76" s="133">
        <v>0</v>
      </c>
      <c r="R76" s="131">
        <v>0</v>
      </c>
      <c r="S76" s="131">
        <v>0</v>
      </c>
      <c r="T76" s="131">
        <v>0</v>
      </c>
      <c r="U76" s="131">
        <v>0</v>
      </c>
      <c r="V76" s="131">
        <v>3</v>
      </c>
      <c r="W76" s="131">
        <v>0</v>
      </c>
      <c r="X76" s="131">
        <v>0</v>
      </c>
      <c r="Y76" s="127">
        <f t="shared" si="6"/>
        <v>30</v>
      </c>
      <c r="Z76" s="128">
        <f t="shared" si="6"/>
        <v>34</v>
      </c>
      <c r="AA76" s="129">
        <f t="shared" si="7"/>
        <v>64</v>
      </c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13"/>
      <c r="AX76" s="113"/>
      <c r="AY76" s="113"/>
      <c r="AZ76" s="113"/>
      <c r="BA76" s="113"/>
      <c r="BB76" s="113"/>
      <c r="BC76" s="113"/>
      <c r="BD76" s="113"/>
      <c r="BE76" s="113"/>
      <c r="BF76" s="113"/>
      <c r="BG76" s="113"/>
      <c r="BH76" s="113"/>
      <c r="BI76" s="113"/>
      <c r="BJ76" s="113"/>
      <c r="BK76" s="115"/>
      <c r="BL76" s="115"/>
      <c r="BM76" s="115"/>
      <c r="BN76" s="115"/>
      <c r="BO76" s="116"/>
    </row>
    <row r="77" spans="1:67" s="117" customFormat="1" ht="16.2" x14ac:dyDescent="0.3">
      <c r="A77" s="124">
        <v>14</v>
      </c>
      <c r="B77" s="130" t="s">
        <v>59</v>
      </c>
      <c r="C77" s="131">
        <v>9</v>
      </c>
      <c r="D77" s="131">
        <v>15</v>
      </c>
      <c r="E77" s="131">
        <v>0</v>
      </c>
      <c r="F77" s="131">
        <v>1</v>
      </c>
      <c r="G77" s="131">
        <v>1</v>
      </c>
      <c r="H77" s="131">
        <v>1</v>
      </c>
      <c r="I77" s="131">
        <v>0</v>
      </c>
      <c r="J77" s="131">
        <v>6</v>
      </c>
      <c r="K77" s="132">
        <v>1</v>
      </c>
      <c r="L77" s="132">
        <v>3</v>
      </c>
      <c r="M77" s="132">
        <v>0</v>
      </c>
      <c r="N77" s="132">
        <v>0</v>
      </c>
      <c r="O77" s="133">
        <v>0</v>
      </c>
      <c r="P77" s="133">
        <v>0</v>
      </c>
      <c r="Q77" s="133">
        <v>0</v>
      </c>
      <c r="R77" s="131">
        <v>0</v>
      </c>
      <c r="S77" s="131">
        <v>0</v>
      </c>
      <c r="T77" s="131">
        <v>0</v>
      </c>
      <c r="U77" s="131">
        <v>0</v>
      </c>
      <c r="V77" s="131">
        <v>15</v>
      </c>
      <c r="W77" s="131">
        <v>0</v>
      </c>
      <c r="X77" s="131">
        <v>0</v>
      </c>
      <c r="Y77" s="127">
        <f t="shared" si="6"/>
        <v>11</v>
      </c>
      <c r="Z77" s="128">
        <f t="shared" si="6"/>
        <v>41</v>
      </c>
      <c r="AA77" s="129">
        <f t="shared" si="7"/>
        <v>52</v>
      </c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5"/>
      <c r="BL77" s="115"/>
      <c r="BM77" s="115"/>
      <c r="BN77" s="115"/>
      <c r="BO77" s="116"/>
    </row>
    <row r="78" spans="1:67" s="117" customFormat="1" ht="16.2" x14ac:dyDescent="0.3">
      <c r="A78" s="124">
        <v>15</v>
      </c>
      <c r="B78" s="130" t="s">
        <v>60</v>
      </c>
      <c r="C78" s="131">
        <v>57</v>
      </c>
      <c r="D78" s="131">
        <v>99</v>
      </c>
      <c r="E78" s="131">
        <v>0</v>
      </c>
      <c r="F78" s="131">
        <v>0</v>
      </c>
      <c r="G78" s="131">
        <v>0</v>
      </c>
      <c r="H78" s="131">
        <v>0</v>
      </c>
      <c r="I78" s="131">
        <v>0</v>
      </c>
      <c r="J78" s="131">
        <v>18</v>
      </c>
      <c r="K78" s="132">
        <v>0</v>
      </c>
      <c r="L78" s="132">
        <v>0</v>
      </c>
      <c r="M78" s="132">
        <v>0</v>
      </c>
      <c r="N78" s="132">
        <v>0</v>
      </c>
      <c r="O78" s="133">
        <v>0</v>
      </c>
      <c r="P78" s="133">
        <v>0</v>
      </c>
      <c r="Q78" s="133">
        <v>0</v>
      </c>
      <c r="R78" s="131">
        <v>0</v>
      </c>
      <c r="S78" s="131">
        <v>0</v>
      </c>
      <c r="T78" s="131">
        <v>0</v>
      </c>
      <c r="U78" s="131">
        <v>0</v>
      </c>
      <c r="V78" s="131">
        <v>52</v>
      </c>
      <c r="W78" s="131">
        <v>0</v>
      </c>
      <c r="X78" s="131">
        <v>0</v>
      </c>
      <c r="Y78" s="127">
        <f t="shared" si="6"/>
        <v>57</v>
      </c>
      <c r="Z78" s="128">
        <f t="shared" si="6"/>
        <v>169</v>
      </c>
      <c r="AA78" s="129">
        <f t="shared" si="7"/>
        <v>226</v>
      </c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  <c r="AT78" s="113"/>
      <c r="AU78" s="113"/>
      <c r="AV78" s="113"/>
      <c r="AW78" s="113"/>
      <c r="AX78" s="113"/>
      <c r="AY78" s="113"/>
      <c r="AZ78" s="113"/>
      <c r="BA78" s="113"/>
      <c r="BB78" s="113"/>
      <c r="BC78" s="113"/>
      <c r="BD78" s="113"/>
      <c r="BE78" s="113"/>
      <c r="BF78" s="113"/>
      <c r="BG78" s="113"/>
      <c r="BH78" s="113"/>
      <c r="BI78" s="113"/>
      <c r="BJ78" s="113"/>
      <c r="BK78" s="115"/>
      <c r="BL78" s="115"/>
      <c r="BM78" s="115"/>
      <c r="BN78" s="115"/>
      <c r="BO78" s="116"/>
    </row>
    <row r="79" spans="1:67" s="117" customFormat="1" ht="16.2" x14ac:dyDescent="0.3">
      <c r="A79" s="124">
        <v>16</v>
      </c>
      <c r="B79" s="130" t="s">
        <v>44</v>
      </c>
      <c r="C79" s="131">
        <v>0</v>
      </c>
      <c r="D79" s="131">
        <v>0</v>
      </c>
      <c r="E79" s="131">
        <v>0</v>
      </c>
      <c r="F79" s="131">
        <v>0</v>
      </c>
      <c r="G79" s="131">
        <v>0</v>
      </c>
      <c r="H79" s="131">
        <v>0</v>
      </c>
      <c r="I79" s="131">
        <v>0</v>
      </c>
      <c r="J79" s="131">
        <v>0</v>
      </c>
      <c r="K79" s="132">
        <v>0</v>
      </c>
      <c r="L79" s="132">
        <v>0</v>
      </c>
      <c r="M79" s="132">
        <v>0</v>
      </c>
      <c r="N79" s="132">
        <v>0</v>
      </c>
      <c r="O79" s="133">
        <v>0</v>
      </c>
      <c r="P79" s="133">
        <v>0</v>
      </c>
      <c r="Q79" s="133">
        <v>0</v>
      </c>
      <c r="R79" s="131">
        <v>0</v>
      </c>
      <c r="S79" s="131">
        <v>0</v>
      </c>
      <c r="T79" s="131">
        <v>0</v>
      </c>
      <c r="U79" s="131">
        <v>0</v>
      </c>
      <c r="V79" s="131">
        <v>0</v>
      </c>
      <c r="W79" s="131">
        <v>0</v>
      </c>
      <c r="X79" s="131">
        <v>0</v>
      </c>
      <c r="Y79" s="127">
        <f t="shared" si="6"/>
        <v>0</v>
      </c>
      <c r="Z79" s="128">
        <f t="shared" si="6"/>
        <v>0</v>
      </c>
      <c r="AA79" s="129">
        <f t="shared" si="7"/>
        <v>0</v>
      </c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  <c r="AT79" s="113"/>
      <c r="AU79" s="113"/>
      <c r="AV79" s="113"/>
      <c r="AW79" s="113"/>
      <c r="AX79" s="113"/>
      <c r="AY79" s="113"/>
      <c r="AZ79" s="113"/>
      <c r="BA79" s="113"/>
      <c r="BB79" s="113"/>
      <c r="BC79" s="113"/>
      <c r="BD79" s="113"/>
      <c r="BE79" s="113"/>
      <c r="BF79" s="113"/>
      <c r="BG79" s="113"/>
      <c r="BH79" s="113"/>
      <c r="BI79" s="113"/>
      <c r="BJ79" s="113"/>
      <c r="BK79" s="115"/>
      <c r="BL79" s="115"/>
      <c r="BM79" s="115"/>
      <c r="BN79" s="115"/>
      <c r="BO79" s="116"/>
    </row>
    <row r="80" spans="1:67" s="117" customFormat="1" ht="16.2" x14ac:dyDescent="0.3">
      <c r="A80" s="124">
        <v>17</v>
      </c>
      <c r="B80" s="130" t="s">
        <v>30</v>
      </c>
      <c r="C80" s="131">
        <v>7</v>
      </c>
      <c r="D80" s="131">
        <v>1</v>
      </c>
      <c r="E80" s="131">
        <v>0</v>
      </c>
      <c r="F80" s="131">
        <v>11</v>
      </c>
      <c r="G80" s="131">
        <v>107</v>
      </c>
      <c r="H80" s="131">
        <v>216</v>
      </c>
      <c r="I80" s="131">
        <v>0</v>
      </c>
      <c r="J80" s="131">
        <v>86</v>
      </c>
      <c r="K80" s="132">
        <v>0</v>
      </c>
      <c r="L80" s="132">
        <v>2</v>
      </c>
      <c r="M80" s="132">
        <v>0</v>
      </c>
      <c r="N80" s="132">
        <v>0</v>
      </c>
      <c r="O80" s="133">
        <v>0</v>
      </c>
      <c r="P80" s="133">
        <v>0</v>
      </c>
      <c r="Q80" s="133">
        <v>1</v>
      </c>
      <c r="R80" s="131">
        <v>0</v>
      </c>
      <c r="S80" s="131">
        <v>0</v>
      </c>
      <c r="T80" s="131">
        <v>0</v>
      </c>
      <c r="U80" s="131">
        <v>0</v>
      </c>
      <c r="V80" s="131">
        <v>1</v>
      </c>
      <c r="W80" s="131">
        <v>0</v>
      </c>
      <c r="X80" s="131">
        <v>0</v>
      </c>
      <c r="Y80" s="127">
        <f t="shared" si="6"/>
        <v>115</v>
      </c>
      <c r="Z80" s="128">
        <f t="shared" si="6"/>
        <v>317</v>
      </c>
      <c r="AA80" s="129">
        <f t="shared" si="7"/>
        <v>432</v>
      </c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113"/>
      <c r="AP80" s="113"/>
      <c r="AQ80" s="113"/>
      <c r="AR80" s="113"/>
      <c r="AS80" s="113"/>
      <c r="AT80" s="113"/>
      <c r="AU80" s="113"/>
      <c r="AV80" s="113"/>
      <c r="AW80" s="113"/>
      <c r="AX80" s="113"/>
      <c r="AY80" s="113"/>
      <c r="AZ80" s="113"/>
      <c r="BA80" s="113"/>
      <c r="BB80" s="113"/>
      <c r="BC80" s="113"/>
      <c r="BD80" s="113"/>
      <c r="BE80" s="113"/>
      <c r="BF80" s="113"/>
      <c r="BG80" s="113"/>
      <c r="BH80" s="113"/>
      <c r="BI80" s="113"/>
      <c r="BJ80" s="113"/>
      <c r="BK80" s="115"/>
      <c r="BL80" s="115"/>
      <c r="BM80" s="115"/>
      <c r="BN80" s="115"/>
      <c r="BO80" s="116"/>
    </row>
    <row r="81" spans="1:67" s="117" customFormat="1" ht="16.2" x14ac:dyDescent="0.3">
      <c r="A81" s="124">
        <v>18</v>
      </c>
      <c r="B81" s="130" t="s">
        <v>61</v>
      </c>
      <c r="C81" s="131">
        <v>1</v>
      </c>
      <c r="D81" s="131">
        <v>1</v>
      </c>
      <c r="E81" s="131">
        <v>0</v>
      </c>
      <c r="F81" s="131">
        <v>0</v>
      </c>
      <c r="G81" s="131">
        <v>1</v>
      </c>
      <c r="H81" s="131">
        <v>1</v>
      </c>
      <c r="I81" s="131">
        <v>0</v>
      </c>
      <c r="J81" s="131">
        <v>4</v>
      </c>
      <c r="K81" s="132">
        <v>0</v>
      </c>
      <c r="L81" s="132">
        <v>0</v>
      </c>
      <c r="M81" s="132">
        <v>0</v>
      </c>
      <c r="N81" s="132">
        <v>0</v>
      </c>
      <c r="O81" s="133">
        <v>0</v>
      </c>
      <c r="P81" s="133">
        <v>0</v>
      </c>
      <c r="Q81" s="133">
        <v>0</v>
      </c>
      <c r="R81" s="131">
        <v>0</v>
      </c>
      <c r="S81" s="131">
        <v>0</v>
      </c>
      <c r="T81" s="131">
        <v>0</v>
      </c>
      <c r="U81" s="131">
        <v>0</v>
      </c>
      <c r="V81" s="131">
        <v>0</v>
      </c>
      <c r="W81" s="131">
        <v>0</v>
      </c>
      <c r="X81" s="131">
        <v>0</v>
      </c>
      <c r="Y81" s="127">
        <f t="shared" si="6"/>
        <v>2</v>
      </c>
      <c r="Z81" s="128">
        <f t="shared" si="6"/>
        <v>6</v>
      </c>
      <c r="AA81" s="129">
        <f t="shared" si="7"/>
        <v>8</v>
      </c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3"/>
      <c r="AT81" s="113"/>
      <c r="AU81" s="113"/>
      <c r="AV81" s="113"/>
      <c r="AW81" s="113"/>
      <c r="AX81" s="113"/>
      <c r="AY81" s="113"/>
      <c r="AZ81" s="113"/>
      <c r="BA81" s="113"/>
      <c r="BB81" s="113"/>
      <c r="BC81" s="113"/>
      <c r="BD81" s="113"/>
      <c r="BE81" s="113"/>
      <c r="BF81" s="113"/>
      <c r="BG81" s="113"/>
      <c r="BH81" s="113"/>
      <c r="BI81" s="113"/>
      <c r="BJ81" s="113"/>
      <c r="BK81" s="115"/>
      <c r="BL81" s="115"/>
      <c r="BM81" s="115"/>
      <c r="BN81" s="115"/>
      <c r="BO81" s="116"/>
    </row>
    <row r="82" spans="1:67" s="117" customFormat="1" ht="32.4" x14ac:dyDescent="0.3">
      <c r="A82" s="124">
        <v>19</v>
      </c>
      <c r="B82" s="134" t="s">
        <v>62</v>
      </c>
      <c r="C82" s="136">
        <v>8</v>
      </c>
      <c r="D82" s="136">
        <v>16</v>
      </c>
      <c r="E82" s="136">
        <v>0</v>
      </c>
      <c r="F82" s="136">
        <v>0</v>
      </c>
      <c r="G82" s="136">
        <v>1</v>
      </c>
      <c r="H82" s="136">
        <v>3</v>
      </c>
      <c r="I82" s="136">
        <v>0</v>
      </c>
      <c r="J82" s="136">
        <v>27</v>
      </c>
      <c r="K82" s="132">
        <v>0</v>
      </c>
      <c r="L82" s="132">
        <v>2</v>
      </c>
      <c r="M82" s="132">
        <v>0</v>
      </c>
      <c r="N82" s="132">
        <v>0</v>
      </c>
      <c r="O82" s="133">
        <v>0</v>
      </c>
      <c r="P82" s="133">
        <v>0</v>
      </c>
      <c r="Q82" s="133">
        <v>0</v>
      </c>
      <c r="R82" s="131">
        <v>0</v>
      </c>
      <c r="S82" s="131">
        <v>0</v>
      </c>
      <c r="T82" s="131">
        <v>0</v>
      </c>
      <c r="U82" s="131">
        <v>0</v>
      </c>
      <c r="V82" s="131">
        <v>33</v>
      </c>
      <c r="W82" s="131">
        <v>0</v>
      </c>
      <c r="X82" s="131">
        <v>0</v>
      </c>
      <c r="Y82" s="127">
        <f t="shared" si="6"/>
        <v>9</v>
      </c>
      <c r="Z82" s="128">
        <f t="shared" si="6"/>
        <v>81</v>
      </c>
      <c r="AA82" s="129">
        <f t="shared" si="7"/>
        <v>90</v>
      </c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  <c r="AS82" s="113"/>
      <c r="AT82" s="113"/>
      <c r="AU82" s="113"/>
      <c r="AV82" s="113"/>
      <c r="AW82" s="113"/>
      <c r="AX82" s="113"/>
      <c r="AY82" s="113"/>
      <c r="AZ82" s="113"/>
      <c r="BA82" s="113"/>
      <c r="BB82" s="113"/>
      <c r="BC82" s="113"/>
      <c r="BD82" s="113"/>
      <c r="BE82" s="113"/>
      <c r="BF82" s="113"/>
      <c r="BG82" s="113"/>
      <c r="BH82" s="113"/>
      <c r="BI82" s="113"/>
      <c r="BJ82" s="113"/>
      <c r="BK82" s="115"/>
      <c r="BL82" s="115"/>
      <c r="BM82" s="115"/>
      <c r="BN82" s="115"/>
      <c r="BO82" s="116"/>
    </row>
    <row r="83" spans="1:67" s="117" customFormat="1" ht="32.4" x14ac:dyDescent="0.3">
      <c r="A83" s="124">
        <v>20</v>
      </c>
      <c r="B83" s="134" t="s">
        <v>63</v>
      </c>
      <c r="C83" s="136">
        <v>30</v>
      </c>
      <c r="D83" s="136">
        <v>8</v>
      </c>
      <c r="E83" s="136">
        <v>0</v>
      </c>
      <c r="F83" s="136">
        <v>6</v>
      </c>
      <c r="G83" s="136">
        <v>258</v>
      </c>
      <c r="H83" s="136">
        <v>552</v>
      </c>
      <c r="I83" s="136">
        <v>0</v>
      </c>
      <c r="J83" s="136">
        <v>42</v>
      </c>
      <c r="K83" s="132">
        <v>17</v>
      </c>
      <c r="L83" s="132">
        <v>22</v>
      </c>
      <c r="M83" s="132">
        <v>0</v>
      </c>
      <c r="N83" s="132">
        <v>0</v>
      </c>
      <c r="O83" s="133">
        <v>0</v>
      </c>
      <c r="P83" s="133">
        <v>0</v>
      </c>
      <c r="Q83" s="133">
        <v>0</v>
      </c>
      <c r="R83" s="131">
        <v>0</v>
      </c>
      <c r="S83" s="131">
        <v>0</v>
      </c>
      <c r="T83" s="131">
        <v>0</v>
      </c>
      <c r="U83" s="131">
        <v>0</v>
      </c>
      <c r="V83" s="131">
        <v>0</v>
      </c>
      <c r="W83" s="131">
        <v>0</v>
      </c>
      <c r="X83" s="131">
        <v>0</v>
      </c>
      <c r="Y83" s="127">
        <f t="shared" si="6"/>
        <v>305</v>
      </c>
      <c r="Z83" s="128">
        <f t="shared" si="6"/>
        <v>630</v>
      </c>
      <c r="AA83" s="129">
        <f t="shared" si="7"/>
        <v>935</v>
      </c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  <c r="AV83" s="113"/>
      <c r="AW83" s="113"/>
      <c r="AX83" s="113"/>
      <c r="AY83" s="113"/>
      <c r="AZ83" s="113"/>
      <c r="BA83" s="113"/>
      <c r="BB83" s="113"/>
      <c r="BC83" s="113"/>
      <c r="BD83" s="113"/>
      <c r="BE83" s="113"/>
      <c r="BF83" s="113"/>
      <c r="BG83" s="113"/>
      <c r="BH83" s="113"/>
      <c r="BI83" s="113"/>
      <c r="BJ83" s="113"/>
      <c r="BK83" s="115"/>
      <c r="BL83" s="115"/>
      <c r="BM83" s="115"/>
      <c r="BN83" s="115"/>
      <c r="BO83" s="116"/>
    </row>
    <row r="84" spans="1:67" s="148" customFormat="1" ht="21" x14ac:dyDescent="0.35">
      <c r="A84" s="137"/>
      <c r="B84" s="138" t="s">
        <v>9</v>
      </c>
      <c r="C84" s="139">
        <f>SUM(C64:C83)</f>
        <v>6986</v>
      </c>
      <c r="D84" s="139">
        <f>SUM(D64:D83)</f>
        <v>17864</v>
      </c>
      <c r="E84" s="140">
        <f t="shared" ref="E84:X84" si="8">SUM(E64:E83)</f>
        <v>0</v>
      </c>
      <c r="F84" s="139">
        <f t="shared" si="8"/>
        <v>1356</v>
      </c>
      <c r="G84" s="139">
        <f t="shared" si="8"/>
        <v>506</v>
      </c>
      <c r="H84" s="139">
        <f t="shared" si="8"/>
        <v>1078</v>
      </c>
      <c r="I84" s="140">
        <f t="shared" si="8"/>
        <v>0</v>
      </c>
      <c r="J84" s="139">
        <f t="shared" si="8"/>
        <v>3147</v>
      </c>
      <c r="K84" s="139">
        <f t="shared" si="8"/>
        <v>328</v>
      </c>
      <c r="L84" s="139">
        <f t="shared" si="8"/>
        <v>1145</v>
      </c>
      <c r="M84" s="139">
        <f t="shared" si="8"/>
        <v>55</v>
      </c>
      <c r="N84" s="140">
        <f t="shared" si="8"/>
        <v>29</v>
      </c>
      <c r="O84" s="140">
        <f t="shared" si="8"/>
        <v>0</v>
      </c>
      <c r="P84" s="140">
        <f t="shared" si="8"/>
        <v>233</v>
      </c>
      <c r="Q84" s="140">
        <f t="shared" si="8"/>
        <v>240</v>
      </c>
      <c r="R84" s="140">
        <f t="shared" si="8"/>
        <v>131</v>
      </c>
      <c r="S84" s="140">
        <f t="shared" si="8"/>
        <v>12</v>
      </c>
      <c r="T84" s="141">
        <f t="shared" si="8"/>
        <v>2249</v>
      </c>
      <c r="U84" s="140">
        <f t="shared" si="8"/>
        <v>0</v>
      </c>
      <c r="V84" s="141">
        <f t="shared" si="8"/>
        <v>11626</v>
      </c>
      <c r="W84" s="140">
        <f t="shared" si="8"/>
        <v>0</v>
      </c>
      <c r="X84" s="140">
        <f t="shared" si="8"/>
        <v>3</v>
      </c>
      <c r="Y84" s="142">
        <f t="shared" si="6"/>
        <v>8127</v>
      </c>
      <c r="Z84" s="143">
        <f t="shared" si="6"/>
        <v>38861</v>
      </c>
      <c r="AA84" s="144">
        <f t="shared" si="7"/>
        <v>46988</v>
      </c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5"/>
      <c r="AY84" s="145"/>
      <c r="AZ84" s="145"/>
      <c r="BA84" s="145"/>
      <c r="BB84" s="145"/>
      <c r="BC84" s="145"/>
      <c r="BD84" s="145"/>
      <c r="BE84" s="145"/>
      <c r="BF84" s="145"/>
      <c r="BG84" s="145"/>
      <c r="BH84" s="145"/>
      <c r="BI84" s="145"/>
      <c r="BJ84" s="145"/>
      <c r="BK84" s="146"/>
      <c r="BL84" s="146"/>
      <c r="BM84" s="146"/>
      <c r="BN84" s="146"/>
      <c r="BO84" s="147"/>
    </row>
    <row r="85" spans="1:67" s="149" customFormat="1" ht="15.6" x14ac:dyDescent="0.3">
      <c r="C85" s="184">
        <f>C84+D84</f>
        <v>24850</v>
      </c>
      <c r="D85" s="184"/>
      <c r="E85" s="184">
        <f>E84+F84</f>
        <v>1356</v>
      </c>
      <c r="F85" s="184"/>
      <c r="G85" s="184">
        <f>G84+H84</f>
        <v>1584</v>
      </c>
      <c r="H85" s="184"/>
      <c r="I85" s="184">
        <f>I84+J84</f>
        <v>3147</v>
      </c>
      <c r="J85" s="184"/>
      <c r="K85" s="184">
        <f>K84+L84</f>
        <v>1473</v>
      </c>
      <c r="L85" s="184"/>
      <c r="M85" s="184">
        <f>M84+N84</f>
        <v>84</v>
      </c>
      <c r="N85" s="184"/>
      <c r="O85" s="184">
        <f>O84+P84</f>
        <v>233</v>
      </c>
      <c r="P85" s="184"/>
      <c r="Q85" s="184">
        <f>Q84+R84</f>
        <v>371</v>
      </c>
      <c r="R85" s="184"/>
      <c r="S85" s="184">
        <f>S84+T84</f>
        <v>2261</v>
      </c>
      <c r="T85" s="184"/>
      <c r="U85" s="185">
        <f>U84+V84</f>
        <v>11626</v>
      </c>
      <c r="V85" s="185"/>
      <c r="W85" s="184">
        <f>W84+X84</f>
        <v>3</v>
      </c>
      <c r="X85" s="184"/>
      <c r="Y85" s="184">
        <f>Y84+Z84</f>
        <v>46988</v>
      </c>
      <c r="Z85" s="184"/>
      <c r="AA85" s="150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  <c r="AW85" s="151"/>
      <c r="AX85" s="151"/>
      <c r="AY85" s="151"/>
      <c r="AZ85" s="151"/>
      <c r="BA85" s="151"/>
      <c r="BB85" s="151"/>
      <c r="BC85" s="151"/>
      <c r="BD85" s="151"/>
      <c r="BE85" s="151"/>
      <c r="BF85" s="151"/>
      <c r="BG85" s="151"/>
      <c r="BH85" s="151"/>
      <c r="BI85" s="151"/>
      <c r="BJ85" s="151"/>
      <c r="BK85" s="152"/>
      <c r="BL85" s="152"/>
      <c r="BM85" s="152"/>
      <c r="BN85" s="152"/>
      <c r="BO85" s="153"/>
    </row>
  </sheetData>
  <mergeCells count="43">
    <mergeCell ref="Y85:Z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W61:X61"/>
    <mergeCell ref="C60:D61"/>
    <mergeCell ref="E60:X60"/>
    <mergeCell ref="Y60:Z61"/>
    <mergeCell ref="AA60:AA61"/>
    <mergeCell ref="K61:L61"/>
    <mergeCell ref="M61:N61"/>
    <mergeCell ref="O61:P61"/>
    <mergeCell ref="Q61:R61"/>
    <mergeCell ref="S61:T61"/>
    <mergeCell ref="U61:V61"/>
    <mergeCell ref="A61:A62"/>
    <mergeCell ref="B61:B62"/>
    <mergeCell ref="E61:F61"/>
    <mergeCell ref="G61:H61"/>
    <mergeCell ref="I61:J61"/>
    <mergeCell ref="O8:P8"/>
    <mergeCell ref="Q8:Q9"/>
    <mergeCell ref="C33:D33"/>
    <mergeCell ref="E33:F33"/>
    <mergeCell ref="G33:H33"/>
    <mergeCell ref="I33:J33"/>
    <mergeCell ref="K33:L33"/>
    <mergeCell ref="M33:N33"/>
    <mergeCell ref="O33:O34"/>
    <mergeCell ref="C8:D8"/>
    <mergeCell ref="E8:F8"/>
    <mergeCell ref="G8:H8"/>
    <mergeCell ref="I8:J8"/>
    <mergeCell ref="K8:L8"/>
    <mergeCell ref="M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PSYCH OPD MORBIDITY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MNTRH-RECORDS</dc:creator>
  <cp:lastModifiedBy>Admin</cp:lastModifiedBy>
  <dcterms:created xsi:type="dcterms:W3CDTF">2026-01-08T12:53:10Z</dcterms:created>
  <dcterms:modified xsi:type="dcterms:W3CDTF">2026-02-16T10:23:38Z</dcterms:modified>
</cp:coreProperties>
</file>